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biduleur" sheetId="1" state="visible" r:id="rId1"/>
    <sheet xmlns:r="http://schemas.openxmlformats.org/officeDocument/2006/relationships" name="communes" sheetId="2" state="visible" r:id="rId2"/>
    <sheet xmlns:r="http://schemas.openxmlformats.org/officeDocument/2006/relationships" name="salles_lieux" sheetId="3" state="visible" r:id="rId3"/>
    <sheet xmlns:r="http://schemas.openxmlformats.org/officeDocument/2006/relationships" name="date" sheetId="4" state="visible" r:id="rId4"/>
  </sheets>
  <definedNames/>
  <calcPr calcId="124519" fullCalcOnLoad="1"/>
</workbook>
</file>

<file path=xl/styles.xml><?xml version="1.0" encoding="utf-8"?>
<styleSheet xmlns="http://schemas.openxmlformats.org/spreadsheetml/2006/main">
  <numFmts count="2">
    <numFmt numFmtId="164" formatCode="m/d/yyyy"/>
    <numFmt numFmtId="165" formatCode="#,##0&quot;€&quot;"/>
  </numFmts>
  <fonts count="9">
    <font>
      <name val="Arial"/>
      <color rgb="FF000000"/>
      <sz val="10"/>
      <scheme val="minor"/>
    </font>
    <font>
      <name val="Arial"/>
      <color theme="1"/>
      <scheme val="minor"/>
    </font>
    <font>
      <name val="Arial"/>
      <b val="1"/>
      <color theme="1"/>
      <sz val="14"/>
    </font>
    <font>
      <name val="Inter"/>
      <color theme="1"/>
      <sz val="11"/>
    </font>
    <font>
      <name val="Arial"/>
      <b val="1"/>
      <color theme="1"/>
      <sz val="13"/>
    </font>
    <font>
      <name val="Calibri"/>
      <color theme="1"/>
      <sz val="11"/>
      <u val="single"/>
    </font>
    <font>
      <name val="Arial"/>
      <color theme="1"/>
      <sz val="11"/>
    </font>
    <font>
      <name val="Calibri"/>
      <color theme="1"/>
      <sz val="11"/>
    </font>
    <font>
      <name val="Calibri"/>
      <color theme="1"/>
      <sz val="11"/>
      <u val="single"/>
    </font>
  </fonts>
  <fills count="8">
    <fill>
      <patternFill/>
    </fill>
    <fill>
      <patternFill patternType="lightGray"/>
    </fill>
    <fill>
      <patternFill patternType="solid">
        <fgColor rgb="FFD0E0E3"/>
        <bgColor rgb="FFD0E0E3"/>
      </patternFill>
    </fill>
    <fill>
      <patternFill patternType="solid">
        <fgColor rgb="FFFCE5CD"/>
        <bgColor rgb="FFFCE5CD"/>
      </patternFill>
    </fill>
    <fill>
      <patternFill patternType="solid">
        <fgColor rgb="FFA9D08E"/>
        <bgColor rgb="FFA9D08E"/>
      </patternFill>
    </fill>
    <fill>
      <patternFill patternType="solid">
        <fgColor rgb="FFD9D9D9"/>
        <bgColor rgb="FFD9D9D9"/>
      </patternFill>
    </fill>
    <fill>
      <patternFill patternType="solid">
        <fgColor rgb="FFF4B084"/>
        <bgColor rgb="FFF4B084"/>
      </patternFill>
    </fill>
    <fill>
      <patternFill patternType="solid">
        <fgColor rgb="FFCCCCCC"/>
        <bgColor rgb="FFCCCCCC"/>
      </patternFill>
    </fill>
  </fills>
  <borders count="11">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left style="thin">
        <color rgb="FF000000"/>
      </left>
      <right style="thin">
        <color rgb="FFFFFFFF"/>
      </right>
      <top style="thin">
        <color rgb="FF000000"/>
      </top>
      <bottom style="thin">
        <color rgb="FFFFFFFF"/>
      </bottom>
    </border>
    <border>
      <left style="thin">
        <color rgb="FFFFFFFF"/>
      </left>
      <right style="thin">
        <color rgb="FFFFFFFF"/>
      </right>
      <top style="thin">
        <color rgb="FF000000"/>
      </top>
      <bottom style="thin">
        <color rgb="FFFFFFFF"/>
      </bottom>
    </border>
    <border>
      <left style="thin">
        <color rgb="FFFFFFFF"/>
      </left>
      <right style="thin">
        <color rgb="FF000000"/>
      </right>
      <top style="thin">
        <color rgb="FF000000"/>
      </top>
      <bottom style="thin">
        <color rgb="FFFFFFFF"/>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numFmtId="0" fontId="0" fillId="0" borderId="0"/>
  </cellStyleXfs>
  <cellXfs count="41">
    <xf numFmtId="0" fontId="0" fillId="0" borderId="0" applyAlignment="1" pivotButton="0" quotePrefix="0" xfId="0">
      <alignment vertical="bottom"/>
    </xf>
    <xf numFmtId="164" fontId="1" fillId="0" borderId="0" pivotButton="0" quotePrefix="0" xfId="0"/>
    <xf numFmtId="0" fontId="2" fillId="2" borderId="0" applyAlignment="1" pivotButton="0" quotePrefix="0" xfId="0">
      <alignment vertical="top" wrapText="1"/>
    </xf>
    <xf numFmtId="0" fontId="1" fillId="0" borderId="0" pivotButton="0" quotePrefix="0" xfId="0"/>
    <xf numFmtId="0" fontId="3" fillId="0" borderId="0" pivotButton="0" quotePrefix="0" xfId="0"/>
    <xf numFmtId="0" fontId="2" fillId="3" borderId="0" applyAlignment="1" pivotButton="0" quotePrefix="0" xfId="0">
      <alignment vertical="top" wrapText="1"/>
    </xf>
    <xf numFmtId="0" fontId="2" fillId="3" borderId="1" applyAlignment="1" pivotButton="0" quotePrefix="0" xfId="0">
      <alignment vertical="top" wrapText="1"/>
    </xf>
    <xf numFmtId="0" fontId="1" fillId="0" borderId="0" pivotButton="0" quotePrefix="0" xfId="0"/>
    <xf numFmtId="0" fontId="4" fillId="3" borderId="1" applyAlignment="1" pivotButton="0" quotePrefix="0" xfId="0">
      <alignment vertical="top" wrapText="1"/>
    </xf>
    <xf numFmtId="0" fontId="4" fillId="4" borderId="1" applyAlignment="1" pivotButton="0" quotePrefix="0" xfId="0">
      <alignment vertical="top" wrapText="1"/>
    </xf>
    <xf numFmtId="0" fontId="4" fillId="4" borderId="2" applyAlignment="1" pivotButton="0" quotePrefix="0" xfId="0">
      <alignment vertical="top" wrapText="1"/>
    </xf>
    <xf numFmtId="0" fontId="2" fillId="5" borderId="3" applyAlignment="1" pivotButton="0" quotePrefix="0" xfId="0">
      <alignment vertical="top" wrapText="1"/>
    </xf>
    <xf numFmtId="0" fontId="4" fillId="6" borderId="4" applyAlignment="1" pivotButton="0" quotePrefix="0" xfId="0">
      <alignment vertical="top" wrapText="1"/>
    </xf>
    <xf numFmtId="0" fontId="4" fillId="6" borderId="5" applyAlignment="1" pivotButton="0" quotePrefix="0" xfId="0">
      <alignment vertical="top" wrapText="1"/>
    </xf>
    <xf numFmtId="0" fontId="3" fillId="0" borderId="1" pivotButton="0" quotePrefix="0" xfId="0"/>
    <xf numFmtId="0" fontId="5" fillId="5" borderId="0" applyAlignment="1" pivotButton="0" quotePrefix="0" xfId="0">
      <alignment vertical="top"/>
    </xf>
    <xf numFmtId="0" fontId="6" fillId="5" borderId="0" applyAlignment="1" pivotButton="0" quotePrefix="0" xfId="0">
      <alignment vertical="top" wrapText="1"/>
    </xf>
    <xf numFmtId="165" fontId="6" fillId="5" borderId="0" applyAlignment="1" pivotButton="0" quotePrefix="0" xfId="0">
      <alignment vertical="top" wrapText="1"/>
    </xf>
    <xf numFmtId="0" fontId="6" fillId="5" borderId="6" applyAlignment="1" pivotButton="0" quotePrefix="0" xfId="0">
      <alignment vertical="top" wrapText="1"/>
    </xf>
    <xf numFmtId="0" fontId="6" fillId="5" borderId="7" applyAlignment="1" pivotButton="0" quotePrefix="0" xfId="0">
      <alignment vertical="top" wrapText="1"/>
    </xf>
    <xf numFmtId="0" fontId="7" fillId="5" borderId="0" applyAlignment="1" pivotButton="0" quotePrefix="0" xfId="0">
      <alignment vertical="top"/>
    </xf>
    <xf numFmtId="0" fontId="1" fillId="5" borderId="0" pivotButton="0" quotePrefix="0" xfId="0"/>
    <xf numFmtId="0" fontId="6" fillId="7" borderId="6" applyAlignment="1" pivotButton="0" quotePrefix="0" xfId="0">
      <alignment vertical="top" wrapText="1"/>
    </xf>
    <xf numFmtId="0" fontId="6" fillId="7" borderId="0" applyAlignment="1" pivotButton="0" quotePrefix="0" xfId="0">
      <alignment vertical="top" wrapText="1"/>
    </xf>
    <xf numFmtId="0" fontId="6" fillId="7" borderId="7" applyAlignment="1" pivotButton="0" quotePrefix="0" xfId="0">
      <alignment vertical="top" wrapText="1"/>
    </xf>
    <xf numFmtId="49" fontId="6" fillId="5" borderId="0" applyAlignment="1" pivotButton="0" quotePrefix="0" xfId="0">
      <alignment vertical="top" wrapText="1"/>
    </xf>
    <xf numFmtId="0" fontId="8" fillId="7" borderId="0" applyAlignment="1" pivotButton="0" quotePrefix="0" xfId="0">
      <alignment vertical="top"/>
    </xf>
    <xf numFmtId="49" fontId="6" fillId="7" borderId="0" applyAlignment="1" pivotButton="0" quotePrefix="0" xfId="0">
      <alignment vertical="top" wrapText="1"/>
    </xf>
    <xf numFmtId="0" fontId="6" fillId="7" borderId="0" applyAlignment="1" pivotButton="0" quotePrefix="0" xfId="0">
      <alignment vertical="top" wrapText="1"/>
    </xf>
    <xf numFmtId="0" fontId="7" fillId="7" borderId="0" applyAlignment="1" pivotButton="0" quotePrefix="0" xfId="0">
      <alignment vertical="top"/>
    </xf>
    <xf numFmtId="0" fontId="1" fillId="7" borderId="0" pivotButton="0" quotePrefix="0" xfId="0"/>
    <xf numFmtId="165" fontId="6" fillId="7"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xf>
    <xf numFmtId="0" fontId="7" fillId="7" borderId="0" applyAlignment="1" pivotButton="0" quotePrefix="0" xfId="0">
      <alignment vertical="top"/>
    </xf>
    <xf numFmtId="0" fontId="6" fillId="5" borderId="8" applyAlignment="1" pivotButton="0" quotePrefix="0" xfId="0">
      <alignment vertical="top" wrapText="1"/>
    </xf>
    <xf numFmtId="0" fontId="6" fillId="5" borderId="9" applyAlignment="1" pivotButton="0" quotePrefix="0" xfId="0">
      <alignment vertical="top" wrapText="1"/>
    </xf>
    <xf numFmtId="0" fontId="6" fillId="5" borderId="9" applyAlignment="1" pivotButton="0" quotePrefix="0" xfId="0">
      <alignment vertical="top" wrapText="1"/>
    </xf>
    <xf numFmtId="0" fontId="6" fillId="5" borderId="10" applyAlignment="1" pivotButton="0" quotePrefix="0" xfId="0">
      <alignment vertical="top" wrapText="1"/>
    </xf>
    <xf numFmtId="0" fontId="7" fillId="5" borderId="9" applyAlignment="1" pivotButton="0" quotePrefix="0" xfId="0">
      <alignment vertical="top"/>
    </xf>
    <xf numFmtId="0" fontId="0" fillId="0" borderId="0" pivotButton="0" quotePrefix="0" xfId="0"/>
  </cellXfs>
  <cellStyles count="1">
    <cellStyle name="Normal" xfId="0" builtinId="0"/>
  </cellStyles>
  <dxfs count="2">
    <dxf>
      <font/>
      <fill>
        <patternFill patternType="solid">
          <fgColor rgb="FFF4CCCC"/>
          <bgColor rgb="FFF4CCCC"/>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None</author>
  </authors>
  <commentList>
    <comment ref="E1" authorId="0" shapeId="0">
      <text>
        <t>[Threaded comment]
Your version of Excel allows you to read this threaded comment; however, any edits to it will get removed if the file is opened in a newer version of Excel. Learn more: https://go.microsoft.com/fwlink/?linkid=870924
Comment:
    optionnel
genre du festival ou de l'événement  duquel la date rentree fait partie
utlisé par le biduleur pour écrire le genre de ce qu'il y a avant le "//"
comme dans:
 ▫ Caritateuf (dj. set techno) // DEATHQUEST (trash/melocore) + KARUKA (metal) + LEIBON FROST, Le Lezard, 21h,0€
format libre</t>
      </text>
    </comment>
    <comment ref="F1" authorId="0" shapeId="0">
      <text>
        <t>[Threaded comment]
Your version of Excel allows you to read this threaded comment; however, any edits to it will get removed if the file is opened in a newer version of Excel. Learn more: https://go.microsoft.com/fwlink/?linkid=870924
Comment:
    obligatoire
date de l'événement 
à noterqu'il n'est pas necessaire de rentrer les dates dans l'ordre, le biduleur s'en chargera
à sélectionnerdans liste de dates possibles</t>
      </text>
    </comment>
    <comment ref="G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heure de l'événement 
format libre</t>
      </text>
    </comment>
    <comment ref="H1" authorId="0" shapeId="0">
      <text>
        <t>[Threaded comment]
Your version of Excel allows you to read this threaded comment; however, any edits to it will get removed if the file is opened in a newer version of Excel. Learn more: https://go.microsoft.com/fwlink/?linkid=870924
Comment:
    obligatoire
comme son nom l'indique, lieu de l'événement , typiquement le nom de la salle de spectacles ou du bar
format libre</t>
      </text>
    </comment>
    <comment ref="I1" authorId="0" shapeId="0">
      <text>
        <t>nom de la commune ou a lieu l'événement 
si elle reste vide "Le Mans" sera utlisé
à sélectionnerdans la liste des communes de la région</t>
      </text>
    </comment>
    <comment ref="K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L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nom en gras entre guillements comme dans:
 ▫ "Mode d’emploi" Remy Balu (humour), Le Patis, 17h, 15€
format libre</t>
      </text>
    </comment>
    <comment ref="M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N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O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Q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R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S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U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V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 ref="W1" authorId="0" shapeId="0">
      <text>
        <t>[Threaded comment]
Your version of Excel allows you to read this threaded comment; however, any edits to it will get removed if the file is opened in a newer version of Excel. Learn more: https://go.microsoft.com/fwlink/?linkid=870924
Comment:
    obligatoire
genre de l'événement  divisé en 2 grosses categoires: concert OU spectacle vivant,
ce dernier pouvant regrouper le theatre, l'humour, la danse, la lecture, etc…
utlisé par le biduleur pour savoir s'il doit utiliser le code typo des concerts avec le nom du groupe en majuscule et gras ou celui des spectacles
à sélectionnerdans la liste des 2 possibles valeurs</t>
      </text>
    </comment>
    <comment ref="Y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compagnie, de la troupe, de l'artiste, etc..
Exemple "Remi Balu" dans:
 ▫ "Mode d’emploi" Remy Balu (humour), Le Patis, 17h, 15€
format libre</t>
      </text>
    </comment>
    <comment ref="Z1" authorId="0" shapeId="0">
      <text>
        <t>[Threaded comment]
Your version of Excel allows you to read this threaded comment; however, any edits to it will get removed if the file is opened in a newer version of Excel. Learn more: https://go.microsoft.com/fwlink/?linkid=870924
Comment:
    obligatoire si le genre est "spectacle vivant"
nom de la pièce, du spectacle, de l'événement  au sens large dans le cas ou le genre selectionne est "spectacle vivant"
utlisé par le biduleur pour mettre le style de l'événement  entre parentheses, comme dans:
 ▫ "Mode d’emploi" Remy Balu (humour), Le Patis, 17h, 15€
format libre</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Z1"/>
  <sheetViews>
    <sheetView workbookViewId="0">
      <pane ySplit="1" topLeftCell="A2" activePane="bottomLeft" state="frozen"/>
      <selection pane="bottomLeft" activeCell="B3" sqref="B3"/>
    </sheetView>
  </sheetViews>
  <sheetFormatPr baseColWidth="8" defaultColWidth="12.63" defaultRowHeight="15.75" customHeight="1"/>
  <cols>
    <col width="33" customWidth="1" style="40" min="1" max="1"/>
    <col width="29.75" customWidth="1" style="40" min="2" max="4"/>
    <col width="29.38" customWidth="1" style="40" min="5" max="5"/>
    <col width="28.5" customWidth="1" style="40" min="6" max="6"/>
    <col width="28.25" customWidth="1" style="40" min="7" max="7"/>
    <col width="39.25" customWidth="1" style="40" min="8" max="8"/>
    <col width="31" customWidth="1" style="40" min="9" max="9"/>
    <col width="33.5" customWidth="1" style="40" min="10" max="10"/>
    <col width="33.38" customWidth="1" style="40" min="11" max="11"/>
    <col width="38.88" customWidth="1" style="40" min="12" max="12"/>
    <col width="42.75" customWidth="1" style="40" min="13" max="13"/>
    <col width="43.75" customWidth="1" style="40" min="14" max="14"/>
    <col width="34.38" customWidth="1" style="40" min="15" max="15"/>
    <col width="32.75" customWidth="1" style="40" min="16" max="16"/>
    <col width="34" customWidth="1" style="40" min="17" max="17"/>
    <col width="28.38" customWidth="1" style="40" min="18" max="18"/>
    <col width="38.5" customWidth="1" style="40" min="19" max="19"/>
    <col width="30" customWidth="1" style="40" min="20" max="20"/>
    <col width="45.13" customWidth="1" style="40" min="21" max="21"/>
    <col width="54.13" customWidth="1" style="40" min="22" max="22"/>
    <col width="43" customWidth="1" style="40" min="23" max="23"/>
    <col width="39" customWidth="1" style="40" min="24" max="24"/>
    <col width="41.63" customWidth="1" style="40" min="25" max="25"/>
    <col width="42.5" customWidth="1" style="40" min="26" max="26"/>
  </cols>
  <sheetData>
    <row r="1">
      <c r="A1" s="2" t="inlineStr">
        <is>
          <t>INFO TAPEUR</t>
        </is>
      </c>
      <c r="B1" s="2" t="inlineStr">
        <is>
          <t>DATE TAPAGE</t>
        </is>
      </c>
      <c r="C1" s="5" t="inlineStr">
        <is>
          <t>Date Émission Radio</t>
        </is>
      </c>
      <c r="D1" s="6" t="inlineStr">
        <is>
          <t xml:space="preserve">FESTOCHE
EVENEMENT </t>
        </is>
      </c>
      <c r="E1" s="8" t="inlineStr">
        <is>
          <t xml:space="preserve">STYLE 
FESTOCHE / EVENEMENT </t>
        </is>
      </c>
      <c r="F1" s="9" t="inlineStr">
        <is>
          <t>DATE</t>
        </is>
      </c>
      <c r="G1" s="9" t="inlineStr">
        <is>
          <t>HEURE</t>
        </is>
      </c>
      <c r="H1" s="9" t="inlineStr">
        <is>
          <t>LIEU</t>
        </is>
      </c>
      <c r="I1" s="9" t="inlineStr">
        <is>
          <t>VILLE</t>
        </is>
      </c>
      <c r="J1" s="10" t="inlineStr">
        <is>
          <t>PRIX</t>
        </is>
      </c>
      <c r="K1" s="11" t="inlineStr">
        <is>
          <t>GENRE 1</t>
        </is>
      </c>
      <c r="L1" s="12" t="inlineStr">
        <is>
          <t>NOM SPECTACLE 1 ( SV )</t>
        </is>
      </c>
      <c r="M1" s="12" t="inlineStr">
        <is>
          <t>COMPAGNIE 1 ( SV ) ou
GROUPE 1 / ARTISTE 1 ( C )</t>
        </is>
      </c>
      <c r="N1" s="13" t="inlineStr">
        <is>
          <t>STYLE 
SPECTACLE 1 (SV) / CONCERT 1 (C)</t>
        </is>
      </c>
      <c r="O1" s="11" t="inlineStr">
        <is>
          <t>GENRE 2</t>
        </is>
      </c>
      <c r="P1" s="12" t="inlineStr">
        <is>
          <t>NOM SPECTACLE 2 ( SV )</t>
        </is>
      </c>
      <c r="Q1" s="12" t="inlineStr">
        <is>
          <t>COMPAGNIE 2 ( SV ) ou
GROUPE 2 / ARTISTE 2 ( C )</t>
        </is>
      </c>
      <c r="R1" s="13" t="inlineStr">
        <is>
          <t>STYLE 
SPECTACLE 2 ( SV ) / CONCERT 2 ( C )</t>
        </is>
      </c>
      <c r="S1" s="11" t="inlineStr">
        <is>
          <t>GENRE 3</t>
        </is>
      </c>
      <c r="T1" s="12" t="inlineStr">
        <is>
          <t>NOM SPECTACLE 3 ( SV )</t>
        </is>
      </c>
      <c r="U1" s="12" t="inlineStr">
        <is>
          <t>COMPAGNIE 3 ( SV ) ou
GROUPE 3 / ARTISTE 3 ( C )</t>
        </is>
      </c>
      <c r="V1" s="13" t="inlineStr">
        <is>
          <t>STYLE 
SPECTACLE 3 ( SV ) / CONCERT 3 ( C )</t>
        </is>
      </c>
      <c r="W1" s="11" t="inlineStr">
        <is>
          <t>GENRE 4</t>
        </is>
      </c>
      <c r="X1" s="12" t="inlineStr">
        <is>
          <t>NOM SPECTACLE 4 ( SV )</t>
        </is>
      </c>
      <c r="Y1" s="12" t="inlineStr">
        <is>
          <t>COMPAGNIE 4 ( SV ) ou
GROUPE 4 / ARTISTE 4 ( C )</t>
        </is>
      </c>
      <c r="Z1" s="13" t="inlineStr">
        <is>
          <t>STYLE 
SPECTACLE 4 ( SV ) / CONCERT 4 ( C )</t>
        </is>
      </c>
    </row>
  </sheetData>
  <conditionalFormatting sqref="F2:F182 F184:F1079 G2:G1079 H2:H101 H103:H106 H108 H110:H141 H143:H153 H155:H157 H159:H1079">
    <cfRule type="expression" priority="1" dxfId="0">
      <formula>AND(COUNTIFS($F:$F,$F2,$H:$H,$H2)&gt;1, COUNTIFS($F:$F,$F2,$H:$H,$H2,$G:$G,$G2)&lt;COUNTIFS($F:$F,$F2,$H:$H,$H2))</formula>
    </cfRule>
    <cfRule type="expression" priority="2" dxfId="1">
      <formula>COUNTIFS($F:$F,$F2,$H:$H,$H2,$G:$G,$G2)&gt;1</formula>
    </cfRule>
  </conditionalFormatting>
  <dataValidations count="32">
    <dataValidation sqref="H76:H101 H103:H106 H108 H110:H137" showDropDown="0" showInputMessage="0" showErrorMessage="1" allowBlank="1" type="list">
      <formula1>salles_lieux!$A$1:$A216</formula1>
    </dataValidation>
    <dataValidation sqref="H8:H13" showDropDown="0" showInputMessage="0" showErrorMessage="1" allowBlank="1" type="list">
      <formula1>salles_lieux!$A$1:$A208</formula1>
    </dataValidation>
    <dataValidation sqref="I14:I15" showDropDown="0" showInputMessage="0" showErrorMessage="1" allowBlank="1" type="list">
      <formula1>communes!$A$1:$A385</formula1>
    </dataValidation>
    <dataValidation sqref="H23:H37" showDropDown="0" showInputMessage="0" showErrorMessage="1" allowBlank="1" type="list">
      <formula1>salles_lieux!$A$1:$A226</formula1>
    </dataValidation>
    <dataValidation sqref="H161:H164" showDropDown="0" showInputMessage="0" showErrorMessage="1" allowBlank="1" type="list">
      <formula1>salles_lieux!$A$1:$A298</formula1>
    </dataValidation>
    <dataValidation sqref="H41:H43" showDropDown="0" showInputMessage="0" showErrorMessage="1" allowBlank="1" type="list">
      <formula1>salles_lieux!$A$1:$A201</formula1>
    </dataValidation>
    <dataValidation sqref="I161:I164" showDropDown="0" showInputMessage="0" showErrorMessage="1" allowBlank="1" type="list">
      <formula1>communes!$A$1:$A468</formula1>
    </dataValidation>
    <dataValidation sqref="I44:I64" showDropDown="0" showInputMessage="0" showErrorMessage="1" allowBlank="1" type="list">
      <formula1>communes!$A$1:$A375</formula1>
    </dataValidation>
    <dataValidation sqref="H68:H72 H139:H141 H143:H153 H155:H157 H159:H160 H165:H181" showDropDown="0" showInputMessage="0" showErrorMessage="1" allowBlank="1" type="list">
      <formula1>salles_lieux!$A$1:$A206</formula1>
    </dataValidation>
    <dataValidation sqref="F2:F182 F184:F1079" showDropDown="0" showInputMessage="0" showErrorMessage="1" allowBlank="1" type="list">
      <formula1>date!$C$1:$C$32</formula1>
    </dataValidation>
    <dataValidation sqref="H4:H7" showDropDown="0" showInputMessage="0" showErrorMessage="1" allowBlank="1" type="list">
      <formula1>salles_lieux!$A$1:$A203</formula1>
    </dataValidation>
    <dataValidation sqref="H182 H184:H1079" showDropDown="0" showInputMessage="0" showErrorMessage="1" allowBlank="1" type="list">
      <formula1>salles_lieux!$A$1:$A314</formula1>
    </dataValidation>
    <dataValidation sqref="H14:H15" showDropDown="0" showInputMessage="0" showErrorMessage="1" allowBlank="1" type="list">
      <formula1>salles_lieux!$A$1:$A215</formula1>
    </dataValidation>
    <dataValidation sqref="H138" showDropDown="0" showInputMessage="0" showErrorMessage="1" allowBlank="1" type="list">
      <formula1>salles_lieux!$A$1:$A279</formula1>
    </dataValidation>
    <dataValidation sqref="I41:I43" showDropDown="0" showInputMessage="0" showErrorMessage="1" allowBlank="1" type="list">
      <formula1>communes!$A$1:$A371</formula1>
    </dataValidation>
    <dataValidation sqref="I2:I3" showDropDown="0" showInputMessage="0" showErrorMessage="1" allowBlank="1" type="list">
      <formula1>communes!$A$1:$A370</formula1>
    </dataValidation>
    <dataValidation sqref="I76:I137" showDropDown="0" showInputMessage="0" showErrorMessage="1" allowBlank="1" type="list">
      <formula1>communes!$A$1:$A386</formula1>
    </dataValidation>
    <dataValidation sqref="K2:K80 K82:K1079 O2:O1079 S2:S1079 W2:W1079" showDropDown="0" showInputMessage="0" showErrorMessage="1" allowBlank="1" type="list">
      <formula1>"c,sv"</formula1>
    </dataValidation>
    <dataValidation sqref="I73:I75" showDropDown="0" showInputMessage="0" showErrorMessage="1" allowBlank="1" type="list">
      <formula1>communes!$A$1:$A382</formula1>
    </dataValidation>
    <dataValidation sqref="I23:I37" showDropDown="0" showInputMessage="0" showErrorMessage="1" allowBlank="1" type="list">
      <formula1>communes!$A$1:$A396</formula1>
    </dataValidation>
    <dataValidation sqref="H73:H75" showDropDown="0" showInputMessage="0" showErrorMessage="1" allowBlank="1" type="list">
      <formula1>salles_lieux!$A$1:$A212</formula1>
    </dataValidation>
    <dataValidation sqref="H16:H22" showDropDown="0" showInputMessage="0" showErrorMessage="1" allowBlank="1" type="list">
      <formula1>salles_lieux!$A$1:$A218</formula1>
    </dataValidation>
    <dataValidation sqref="I16:I22" showDropDown="0" showInputMessage="0" showErrorMessage="1" allowBlank="1" type="list">
      <formula1>communes!$A$1:$A388</formula1>
    </dataValidation>
    <dataValidation sqref="H44:H64" showDropDown="0" showInputMessage="0" showErrorMessage="1" allowBlank="1" type="list">
      <formula1>salles_lieux!$A$1:$A205</formula1>
    </dataValidation>
    <dataValidation sqref="I138" showDropDown="0" showInputMessage="0" showErrorMessage="1" allowBlank="1" type="list">
      <formula1>communes!$A$1:$A449</formula1>
    </dataValidation>
    <dataValidation sqref="I4:I7" showDropDown="0" showInputMessage="0" showErrorMessage="1" allowBlank="1" type="list">
      <formula1>communes!$A$1:$A373</formula1>
    </dataValidation>
    <dataValidation sqref="I65:I72 I139:I160 I165:I181" showDropDown="0" showInputMessage="0" showErrorMessage="1" allowBlank="1" type="list">
      <formula1>communes!$A$1:$A373</formula1>
    </dataValidation>
    <dataValidation sqref="I38:I40" showDropDown="0" showInputMessage="0" showErrorMessage="1" allowBlank="1" type="list">
      <formula1>communes!$A$1:$A413</formula1>
    </dataValidation>
    <dataValidation sqref="I182:I1079" showDropDown="0" showInputMessage="0" showErrorMessage="1" allowBlank="1" type="list">
      <formula1>communes!$A$1:$A484</formula1>
    </dataValidation>
    <dataValidation sqref="H2:H3" showDropDown="0" showInputMessage="0" showErrorMessage="1" allowBlank="1" type="list">
      <formula1>salles_lieux!$A$1:$A200</formula1>
    </dataValidation>
    <dataValidation sqref="H38:H40" showDropDown="0" showInputMessage="0" showErrorMessage="1" allowBlank="1" type="list">
      <formula1>salles_lieux!$A$1:$A243</formula1>
    </dataValidation>
    <dataValidation sqref="I8:I13" showDropDown="0" showInputMessage="0" showErrorMessage="1" allowBlank="1" type="list">
      <formula1>communes!$A$1:$A378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359"/>
  <sheetViews>
    <sheetView workbookViewId="0">
      <selection activeCell="A1" sqref="A1"/>
    </sheetView>
  </sheetViews>
  <sheetFormatPr baseColWidth="8" defaultColWidth="12.63" defaultRowHeight="15.75" customHeight="1"/>
  <cols>
    <col width="53.13" customWidth="1" style="40" min="1" max="1"/>
  </cols>
  <sheetData>
    <row r="1">
      <c r="A1" s="7">
        <f>IFERROR(__xludf.DUMMYFUNCTION("IMPORTRANGE(""1iugLAvJSj_i4svj4QOeGLEwU8HgGvzDtNQQgc-bN6eE"", ""communes!A1:A359"")"),"Aigné")</f>
        <v/>
      </c>
    </row>
    <row r="2">
      <c r="A2" s="7">
        <f>IFERROR(__xludf.DUMMYFUNCTION("""COMPUTED_VALUE"""),"Aillières-Beauvoir")</f>
        <v/>
      </c>
    </row>
    <row r="3">
      <c r="A3" s="7">
        <f>IFERROR(__xludf.DUMMYFUNCTION("""COMPUTED_VALUE"""),"Alençon")</f>
        <v/>
      </c>
    </row>
    <row r="4">
      <c r="A4" s="7">
        <f>IFERROR(__xludf.DUMMYFUNCTION("""COMPUTED_VALUE"""),"Allonnes")</f>
        <v/>
      </c>
    </row>
    <row r="5">
      <c r="A5" s="7">
        <f>IFERROR(__xludf.DUMMYFUNCTION("""COMPUTED_VALUE"""),"Amné")</f>
        <v/>
      </c>
    </row>
    <row r="6">
      <c r="A6" s="7">
        <f>IFERROR(__xludf.DUMMYFUNCTION("""COMPUTED_VALUE"""),"Ancinnes")</f>
        <v/>
      </c>
    </row>
    <row r="7">
      <c r="A7" s="7">
        <f>IFERROR(__xludf.DUMMYFUNCTION("""COMPUTED_VALUE"""),"Arçonnay")</f>
        <v/>
      </c>
    </row>
    <row r="8">
      <c r="A8" s="7">
        <f>IFERROR(__xludf.DUMMYFUNCTION("""COMPUTED_VALUE"""),"Ardenay-sur-Mérize")</f>
        <v/>
      </c>
    </row>
    <row r="9">
      <c r="A9" s="7">
        <f>IFERROR(__xludf.DUMMYFUNCTION("""COMPUTED_VALUE"""),"Arnage")</f>
        <v/>
      </c>
    </row>
    <row r="10">
      <c r="A10" s="7">
        <f>IFERROR(__xludf.DUMMYFUNCTION("""COMPUTED_VALUE"""),"Arthezé")</f>
        <v/>
      </c>
    </row>
    <row r="11">
      <c r="A11" s="7">
        <f>IFERROR(__xludf.DUMMYFUNCTION("""COMPUTED_VALUE"""),"Asnières-sur-Vègre")</f>
        <v/>
      </c>
    </row>
    <row r="12">
      <c r="A12" s="7">
        <f>IFERROR(__xludf.DUMMYFUNCTION("""COMPUTED_VALUE"""),"Assé-le-Boisne")</f>
        <v/>
      </c>
    </row>
    <row r="13">
      <c r="A13" s="7">
        <f>IFERROR(__xludf.DUMMYFUNCTION("""COMPUTED_VALUE"""),"Assé-le-Riboul")</f>
        <v/>
      </c>
    </row>
    <row r="14">
      <c r="A14" s="7">
        <f>IFERROR(__xludf.DUMMYFUNCTION("""COMPUTED_VALUE"""),"Aubigné-Racan")</f>
        <v/>
      </c>
    </row>
    <row r="15">
      <c r="A15" s="7">
        <f>IFERROR(__xludf.DUMMYFUNCTION("""COMPUTED_VALUE"""),"Auvers-le-Hamon")</f>
        <v/>
      </c>
    </row>
    <row r="16">
      <c r="A16" s="7">
        <f>IFERROR(__xludf.DUMMYFUNCTION("""COMPUTED_VALUE"""),"Auvers-sous-Montfaucon")</f>
        <v/>
      </c>
    </row>
    <row r="17">
      <c r="A17" s="7">
        <f>IFERROR(__xludf.DUMMYFUNCTION("""COMPUTED_VALUE"""),"Avesnes-en-Saosnois")</f>
        <v/>
      </c>
    </row>
    <row r="18">
      <c r="A18" s="7">
        <f>IFERROR(__xludf.DUMMYFUNCTION("""COMPUTED_VALUE"""),"Avessé")</f>
        <v/>
      </c>
    </row>
    <row r="19">
      <c r="A19" s="7">
        <f>IFERROR(__xludf.DUMMYFUNCTION("""COMPUTED_VALUE"""),"Avezé")</f>
        <v/>
      </c>
    </row>
    <row r="20">
      <c r="A20" s="7">
        <f>IFERROR(__xludf.DUMMYFUNCTION("""COMPUTED_VALUE"""),"Avoise")</f>
        <v/>
      </c>
    </row>
    <row r="21">
      <c r="A21" s="7">
        <f>IFERROR(__xludf.DUMMYFUNCTION("""COMPUTED_VALUE"""),"Ballon-Saint Mars")</f>
        <v/>
      </c>
    </row>
    <row r="22">
      <c r="A22" s="7">
        <f>IFERROR(__xludf.DUMMYFUNCTION("""COMPUTED_VALUE"""),"Bazouges Cré sur Loir")</f>
        <v/>
      </c>
    </row>
    <row r="23">
      <c r="A23" s="7">
        <f>IFERROR(__xludf.DUMMYFUNCTION("""COMPUTED_VALUE"""),"Beaufay")</f>
        <v/>
      </c>
    </row>
    <row r="24">
      <c r="A24" s="7">
        <f>IFERROR(__xludf.DUMMYFUNCTION("""COMPUTED_VALUE"""),"Beaumont-Pied-de-Bœuf")</f>
        <v/>
      </c>
    </row>
    <row r="25">
      <c r="A25" s="7">
        <f>IFERROR(__xludf.DUMMYFUNCTION("""COMPUTED_VALUE"""),"Beaumont-sur-Dême")</f>
        <v/>
      </c>
    </row>
    <row r="26">
      <c r="A26" s="7">
        <f>IFERROR(__xludf.DUMMYFUNCTION("""COMPUTED_VALUE"""),"Beaumont-sur-Sarthe")</f>
        <v/>
      </c>
    </row>
    <row r="27">
      <c r="A27" s="7">
        <f>IFERROR(__xludf.DUMMYFUNCTION("""COMPUTED_VALUE"""),"Beillé")</f>
        <v/>
      </c>
    </row>
    <row r="28">
      <c r="A28" s="7">
        <f>IFERROR(__xludf.DUMMYFUNCTION("""COMPUTED_VALUE"""),"Berfay")</f>
        <v/>
      </c>
    </row>
    <row r="29">
      <c r="A29" s="7">
        <f>IFERROR(__xludf.DUMMYFUNCTION("""COMPUTED_VALUE"""),"Bernay-Neuvy-en-Champagne")</f>
        <v/>
      </c>
    </row>
    <row r="30">
      <c r="A30" s="7">
        <f>IFERROR(__xludf.DUMMYFUNCTION("""COMPUTED_VALUE"""),"Bérus")</f>
        <v/>
      </c>
    </row>
    <row r="31">
      <c r="A31" s="7">
        <f>IFERROR(__xludf.DUMMYFUNCTION("""COMPUTED_VALUE"""),"Bessé-sur-Braye")</f>
        <v/>
      </c>
    </row>
    <row r="32">
      <c r="A32" s="7">
        <f>IFERROR(__xludf.DUMMYFUNCTION("""COMPUTED_VALUE"""),"Béthon")</f>
        <v/>
      </c>
    </row>
    <row r="33">
      <c r="A33" s="7">
        <f>IFERROR(__xludf.DUMMYFUNCTION("""COMPUTED_VALUE"""),"Blèves")</f>
        <v/>
      </c>
    </row>
    <row r="34">
      <c r="A34" s="7">
        <f>IFERROR(__xludf.DUMMYFUNCTION("""COMPUTED_VALUE"""),"Boëssé-le-Sec")</f>
        <v/>
      </c>
    </row>
    <row r="35">
      <c r="A35" s="7">
        <f>IFERROR(__xludf.DUMMYFUNCTION("""COMPUTED_VALUE"""),"Bonnétable")</f>
        <v/>
      </c>
    </row>
    <row r="36">
      <c r="A36" s="7">
        <f>IFERROR(__xludf.DUMMYFUNCTION("""COMPUTED_VALUE"""),"Bouër")</f>
        <v/>
      </c>
    </row>
    <row r="37">
      <c r="A37" s="7">
        <f>IFERROR(__xludf.DUMMYFUNCTION("""COMPUTED_VALUE"""),"Bouloire")</f>
        <v/>
      </c>
    </row>
    <row r="38">
      <c r="A38" s="7">
        <f>IFERROR(__xludf.DUMMYFUNCTION("""COMPUTED_VALUE"""),"Bourg-le-Roi")</f>
        <v/>
      </c>
    </row>
    <row r="39">
      <c r="A39" s="7">
        <f>IFERROR(__xludf.DUMMYFUNCTION("""COMPUTED_VALUE"""),"Bousse")</f>
        <v/>
      </c>
    </row>
    <row r="40">
      <c r="A40" s="7">
        <f>IFERROR(__xludf.DUMMYFUNCTION("""COMPUTED_VALUE"""),"Brains-sur-Gée")</f>
        <v/>
      </c>
    </row>
    <row r="41">
      <c r="A41" s="7">
        <f>IFERROR(__xludf.DUMMYFUNCTION("""COMPUTED_VALUE"""),"Brette-les-Pins")</f>
        <v/>
      </c>
    </row>
    <row r="42">
      <c r="A42" s="7">
        <f>IFERROR(__xludf.DUMMYFUNCTION("""COMPUTED_VALUE"""),"Briosne-lès-Sables")</f>
        <v/>
      </c>
    </row>
    <row r="43">
      <c r="A43" s="7">
        <f>IFERROR(__xludf.DUMMYFUNCTION("""COMPUTED_VALUE"""),"Brûlon")</f>
        <v/>
      </c>
    </row>
    <row r="44">
      <c r="A44" s="7">
        <f>IFERROR(__xludf.DUMMYFUNCTION("""COMPUTED_VALUE"""),"Cérans-Foulletourte")</f>
        <v/>
      </c>
    </row>
    <row r="45">
      <c r="A45" s="7">
        <f>IFERROR(__xludf.DUMMYFUNCTION("""COMPUTED_VALUE"""),"Chahaignes")</f>
        <v/>
      </c>
    </row>
    <row r="46">
      <c r="A46" s="7">
        <f>IFERROR(__xludf.DUMMYFUNCTION("""COMPUTED_VALUE"""),"Challes")</f>
        <v/>
      </c>
    </row>
    <row r="47">
      <c r="A47" s="7">
        <f>IFERROR(__xludf.DUMMYFUNCTION("""COMPUTED_VALUE"""),"Champagné")</f>
        <v/>
      </c>
    </row>
    <row r="48">
      <c r="A48" s="7">
        <f>IFERROR(__xludf.DUMMYFUNCTION("""COMPUTED_VALUE"""),"Champfleur")</f>
        <v/>
      </c>
    </row>
    <row r="49">
      <c r="A49" s="7">
        <f>IFERROR(__xludf.DUMMYFUNCTION("""COMPUTED_VALUE"""),"Champrond")</f>
        <v/>
      </c>
    </row>
    <row r="50">
      <c r="A50" s="7">
        <f>IFERROR(__xludf.DUMMYFUNCTION("""COMPUTED_VALUE"""),"Changé")</f>
        <v/>
      </c>
    </row>
    <row r="51">
      <c r="A51" s="7">
        <f>IFERROR(__xludf.DUMMYFUNCTION("""COMPUTED_VALUE"""),"Chantenay-Villedieu")</f>
        <v/>
      </c>
    </row>
    <row r="52">
      <c r="A52" s="7">
        <f>IFERROR(__xludf.DUMMYFUNCTION("""COMPUTED_VALUE"""),"Chassillé")</f>
        <v/>
      </c>
    </row>
    <row r="53">
      <c r="A53" s="7">
        <f>IFERROR(__xludf.DUMMYFUNCTION("""COMPUTED_VALUE"""),"Chateau-du-Loir")</f>
        <v/>
      </c>
    </row>
    <row r="54">
      <c r="A54" s="7">
        <f>IFERROR(__xludf.DUMMYFUNCTION("""COMPUTED_VALUE"""),"Château-du-Loir")</f>
        <v/>
      </c>
    </row>
    <row r="55">
      <c r="A55" s="7">
        <f>IFERROR(__xludf.DUMMYFUNCTION("""COMPUTED_VALUE"""),"Château-l'Hermitage")</f>
        <v/>
      </c>
    </row>
    <row r="56">
      <c r="A56" s="7">
        <f>IFERROR(__xludf.DUMMYFUNCTION("""COMPUTED_VALUE"""),"Chaufour-Notre-Dame")</f>
        <v/>
      </c>
    </row>
    <row r="57">
      <c r="A57" s="7">
        <f>IFERROR(__xludf.DUMMYFUNCTION("""COMPUTED_VALUE"""),"Chemiré-en-Charnie")</f>
        <v/>
      </c>
    </row>
    <row r="58">
      <c r="A58" s="7">
        <f>IFERROR(__xludf.DUMMYFUNCTION("""COMPUTED_VALUE"""),"Chemiré-le-Gaudin")</f>
        <v/>
      </c>
    </row>
    <row r="59">
      <c r="A59" s="7">
        <f>IFERROR(__xludf.DUMMYFUNCTION("""COMPUTED_VALUE"""),"Chenay")</f>
        <v/>
      </c>
    </row>
    <row r="60">
      <c r="A60" s="7">
        <f>IFERROR(__xludf.DUMMYFUNCTION("""COMPUTED_VALUE"""),"Chenu")</f>
        <v/>
      </c>
    </row>
    <row r="61">
      <c r="A61" s="7">
        <f>IFERROR(__xludf.DUMMYFUNCTION("""COMPUTED_VALUE"""),"Chérancé")</f>
        <v/>
      </c>
    </row>
    <row r="62">
      <c r="A62" s="7">
        <f>IFERROR(__xludf.DUMMYFUNCTION("""COMPUTED_VALUE"""),"Chérisay")</f>
        <v/>
      </c>
    </row>
    <row r="63">
      <c r="A63" s="7">
        <f>IFERROR(__xludf.DUMMYFUNCTION("""COMPUTED_VALUE"""),"Cherré-Au")</f>
        <v/>
      </c>
    </row>
    <row r="64">
      <c r="A64" s="7">
        <f>IFERROR(__xludf.DUMMYFUNCTION("""COMPUTED_VALUE"""),"Chevillé")</f>
        <v/>
      </c>
    </row>
    <row r="65">
      <c r="A65" s="7">
        <f>IFERROR(__xludf.DUMMYFUNCTION("""COMPUTED_VALUE"""),"Clermont-Créans")</f>
        <v/>
      </c>
    </row>
    <row r="66">
      <c r="A66" s="7">
        <f>IFERROR(__xludf.DUMMYFUNCTION("""COMPUTED_VALUE"""),"Cogners")</f>
        <v/>
      </c>
    </row>
    <row r="67">
      <c r="A67" s="7">
        <f>IFERROR(__xludf.DUMMYFUNCTION("""COMPUTED_VALUE"""),"Commerveil")</f>
        <v/>
      </c>
    </row>
    <row r="68">
      <c r="A68" s="7">
        <f>IFERROR(__xludf.DUMMYFUNCTION("""COMPUTED_VALUE"""),"Conflans-sur-Anille")</f>
        <v/>
      </c>
    </row>
    <row r="69">
      <c r="A69" s="7">
        <f>IFERROR(__xludf.DUMMYFUNCTION("""COMPUTED_VALUE"""),"Congé-sur-Orne")</f>
        <v/>
      </c>
    </row>
    <row r="70">
      <c r="A70" s="7">
        <f>IFERROR(__xludf.DUMMYFUNCTION("""COMPUTED_VALUE"""),"Conlie")</f>
        <v/>
      </c>
    </row>
    <row r="71">
      <c r="A71" s="7">
        <f>IFERROR(__xludf.DUMMYFUNCTION("""COMPUTED_VALUE"""),"Connerré")</f>
        <v/>
      </c>
    </row>
    <row r="72">
      <c r="A72" s="7">
        <f>IFERROR(__xludf.DUMMYFUNCTION("""COMPUTED_VALUE"""),"Contilly")</f>
        <v/>
      </c>
    </row>
    <row r="73">
      <c r="A73" s="7">
        <f>IFERROR(__xludf.DUMMYFUNCTION("""COMPUTED_VALUE"""),"Cormes")</f>
        <v/>
      </c>
    </row>
    <row r="74">
      <c r="A74" s="7">
        <f>IFERROR(__xludf.DUMMYFUNCTION("""COMPUTED_VALUE"""),"Coudrecieux")</f>
        <v/>
      </c>
    </row>
    <row r="75">
      <c r="A75" s="7">
        <f>IFERROR(__xludf.DUMMYFUNCTION("""COMPUTED_VALUE"""),"Coulaines")</f>
        <v/>
      </c>
    </row>
    <row r="76">
      <c r="A76" s="7">
        <f>IFERROR(__xludf.DUMMYFUNCTION("""COMPUTED_VALUE"""),"Coulans-sur-Gée")</f>
        <v/>
      </c>
    </row>
    <row r="77">
      <c r="A77" s="7">
        <f>IFERROR(__xludf.DUMMYFUNCTION("""COMPUTED_VALUE"""),"Coulongé")</f>
        <v/>
      </c>
    </row>
    <row r="78">
      <c r="A78" s="7">
        <f>IFERROR(__xludf.DUMMYFUNCTION("""COMPUTED_VALUE"""),"Courcebœufs")</f>
        <v/>
      </c>
    </row>
    <row r="79">
      <c r="A79" s="7">
        <f>IFERROR(__xludf.DUMMYFUNCTION("""COMPUTED_VALUE"""),"Courcelles-la-Forêt")</f>
        <v/>
      </c>
    </row>
    <row r="80">
      <c r="A80" s="7">
        <f>IFERROR(__xludf.DUMMYFUNCTION("""COMPUTED_VALUE"""),"Courcemont")</f>
        <v/>
      </c>
    </row>
    <row r="81">
      <c r="A81" s="7">
        <f>IFERROR(__xludf.DUMMYFUNCTION("""COMPUTED_VALUE"""),"Courcival")</f>
        <v/>
      </c>
    </row>
    <row r="82">
      <c r="A82" s="7">
        <f>IFERROR(__xludf.DUMMYFUNCTION("""COMPUTED_VALUE"""),"Courdemanche")</f>
        <v/>
      </c>
    </row>
    <row r="83">
      <c r="A83" s="7">
        <f>IFERROR(__xludf.DUMMYFUNCTION("""COMPUTED_VALUE"""),"Courgains")</f>
        <v/>
      </c>
    </row>
    <row r="84">
      <c r="A84" s="7">
        <f>IFERROR(__xludf.DUMMYFUNCTION("""COMPUTED_VALUE"""),"Courgenard")</f>
        <v/>
      </c>
    </row>
    <row r="85">
      <c r="A85" s="7">
        <f>IFERROR(__xludf.DUMMYFUNCTION("""COMPUTED_VALUE"""),"Courtillers")</f>
        <v/>
      </c>
    </row>
    <row r="86">
      <c r="A86" s="7">
        <f>IFERROR(__xludf.DUMMYFUNCTION("""COMPUTED_VALUE"""),"Crannes-en-Champagne")</f>
        <v/>
      </c>
    </row>
    <row r="87">
      <c r="A87" s="7">
        <f>IFERROR(__xludf.DUMMYFUNCTION("""COMPUTED_VALUE"""),"Crissé")</f>
        <v/>
      </c>
    </row>
    <row r="88">
      <c r="A88" s="7">
        <f>IFERROR(__xludf.DUMMYFUNCTION("""COMPUTED_VALUE"""),"Crosmières")</f>
        <v/>
      </c>
    </row>
    <row r="89">
      <c r="A89" s="7">
        <f>IFERROR(__xludf.DUMMYFUNCTION("""COMPUTED_VALUE"""),"Cures")</f>
        <v/>
      </c>
    </row>
    <row r="90">
      <c r="A90" s="7">
        <f>IFERROR(__xludf.DUMMYFUNCTION("""COMPUTED_VALUE"""),"Dangeul")</f>
        <v/>
      </c>
    </row>
    <row r="91">
      <c r="A91" s="7">
        <f>IFERROR(__xludf.DUMMYFUNCTION("""COMPUTED_VALUE"""),"Degré")</f>
        <v/>
      </c>
    </row>
    <row r="92">
      <c r="A92" s="7">
        <f>IFERROR(__xludf.DUMMYFUNCTION("""COMPUTED_VALUE"""),"Dehault")</f>
        <v/>
      </c>
    </row>
    <row r="93">
      <c r="A93" s="7">
        <f>IFERROR(__xludf.DUMMYFUNCTION("""COMPUTED_VALUE"""),"Dissay-sous-Courcillon")</f>
        <v/>
      </c>
    </row>
    <row r="94">
      <c r="A94" s="7">
        <f>IFERROR(__xludf.DUMMYFUNCTION("""COMPUTED_VALUE"""),"Dollon")</f>
        <v/>
      </c>
    </row>
    <row r="95">
      <c r="A95" s="7">
        <f>IFERROR(__xludf.DUMMYFUNCTION("""COMPUTED_VALUE"""),"Domfront-en-Champagne")</f>
        <v/>
      </c>
    </row>
    <row r="96">
      <c r="A96" s="7">
        <f>IFERROR(__xludf.DUMMYFUNCTION("""COMPUTED_VALUE"""),"Doucelles")</f>
        <v/>
      </c>
    </row>
    <row r="97">
      <c r="A97" s="7">
        <f>IFERROR(__xludf.DUMMYFUNCTION("""COMPUTED_VALUE"""),"Douillet")</f>
        <v/>
      </c>
    </row>
    <row r="98">
      <c r="A98" s="7">
        <f>IFERROR(__xludf.DUMMYFUNCTION("""COMPUTED_VALUE"""),"Duneau")</f>
        <v/>
      </c>
    </row>
    <row r="99">
      <c r="A99" s="7">
        <f>IFERROR(__xludf.DUMMYFUNCTION("""COMPUTED_VALUE"""),"Dureil")</f>
        <v/>
      </c>
    </row>
    <row r="100">
      <c r="A100" s="7">
        <f>IFERROR(__xludf.DUMMYFUNCTION("""COMPUTED_VALUE"""),"Écommoy")</f>
        <v/>
      </c>
    </row>
    <row r="101">
      <c r="A101" s="7">
        <f>IFERROR(__xludf.DUMMYFUNCTION("""COMPUTED_VALUE"""),"Écorpain")</f>
        <v/>
      </c>
    </row>
    <row r="102">
      <c r="A102" s="7">
        <f>IFERROR(__xludf.DUMMYFUNCTION("""COMPUTED_VALUE"""),"Épineu-le-Chevreuil")</f>
        <v/>
      </c>
    </row>
    <row r="103">
      <c r="A103" s="7">
        <f>IFERROR(__xludf.DUMMYFUNCTION("""COMPUTED_VALUE"""),"Étival-lès-le-Mans")</f>
        <v/>
      </c>
    </row>
    <row r="104">
      <c r="A104" s="7">
        <f>IFERROR(__xludf.DUMMYFUNCTION("""COMPUTED_VALUE"""),"Fatines")</f>
        <v/>
      </c>
    </row>
    <row r="105">
      <c r="A105" s="7">
        <f>IFERROR(__xludf.DUMMYFUNCTION("""COMPUTED_VALUE"""),"Fay")</f>
        <v/>
      </c>
    </row>
    <row r="106">
      <c r="A106" s="7">
        <f>IFERROR(__xludf.DUMMYFUNCTION("""COMPUTED_VALUE"""),"Fercé-sur-Sarthe")</f>
        <v/>
      </c>
    </row>
    <row r="107">
      <c r="A107" s="7">
        <f>IFERROR(__xludf.DUMMYFUNCTION("""COMPUTED_VALUE"""),"Fillé")</f>
        <v/>
      </c>
    </row>
    <row r="108">
      <c r="A108" s="7">
        <f>IFERROR(__xludf.DUMMYFUNCTION("""COMPUTED_VALUE"""),"Flée")</f>
        <v/>
      </c>
    </row>
    <row r="109">
      <c r="A109" s="7">
        <f>IFERROR(__xludf.DUMMYFUNCTION("""COMPUTED_VALUE"""),"Fontenay-sur-Vègre")</f>
        <v/>
      </c>
    </row>
    <row r="110">
      <c r="A110" s="7">
        <f>IFERROR(__xludf.DUMMYFUNCTION("""COMPUTED_VALUE"""),"Fresnay-sur-Sarthe")</f>
        <v/>
      </c>
    </row>
    <row r="111">
      <c r="A111" s="7">
        <f>IFERROR(__xludf.DUMMYFUNCTION("""COMPUTED_VALUE"""),"Fyé")</f>
        <v/>
      </c>
    </row>
    <row r="112">
      <c r="A112" s="7">
        <f>IFERROR(__xludf.DUMMYFUNCTION("""COMPUTED_VALUE"""),"Gesnes-le-Gandelin")</f>
        <v/>
      </c>
    </row>
    <row r="113">
      <c r="A113" s="7">
        <f>IFERROR(__xludf.DUMMYFUNCTION("""COMPUTED_VALUE"""),"Grandchamp")</f>
        <v/>
      </c>
    </row>
    <row r="114">
      <c r="A114" s="7">
        <f>IFERROR(__xludf.DUMMYFUNCTION("""COMPUTED_VALUE"""),"Gréez-sur-Roc")</f>
        <v/>
      </c>
    </row>
    <row r="115">
      <c r="A115" s="7">
        <f>IFERROR(__xludf.DUMMYFUNCTION("""COMPUTED_VALUE"""),"Guécélard")</f>
        <v/>
      </c>
    </row>
    <row r="116">
      <c r="A116" s="7">
        <f>IFERROR(__xludf.DUMMYFUNCTION("""COMPUTED_VALUE"""),"Jauzé")</f>
        <v/>
      </c>
    </row>
    <row r="117">
      <c r="A117" s="7">
        <f>IFERROR(__xludf.DUMMYFUNCTION("""COMPUTED_VALUE"""),"Joué-en-Charnie")</f>
        <v/>
      </c>
    </row>
    <row r="118">
      <c r="A118" s="7">
        <f>IFERROR(__xludf.DUMMYFUNCTION("""COMPUTED_VALUE"""),"Joué-l'Abbé")</f>
        <v/>
      </c>
    </row>
    <row r="119">
      <c r="A119" s="7">
        <f>IFERROR(__xludf.DUMMYFUNCTION("""COMPUTED_VALUE"""),"Juigné-sur-Sarthe")</f>
        <v/>
      </c>
    </row>
    <row r="120">
      <c r="A120" s="7">
        <f>IFERROR(__xludf.DUMMYFUNCTION("""COMPUTED_VALUE"""),"Juillé")</f>
        <v/>
      </c>
    </row>
    <row r="121">
      <c r="A121" s="7">
        <f>IFERROR(__xludf.DUMMYFUNCTION("""COMPUTED_VALUE"""),"Jupilles")</f>
        <v/>
      </c>
    </row>
    <row r="122">
      <c r="A122" s="7">
        <f>IFERROR(__xludf.DUMMYFUNCTION("""COMPUTED_VALUE"""),"La Bazoge")</f>
        <v/>
      </c>
    </row>
    <row r="123">
      <c r="A123" s="7">
        <f>IFERROR(__xludf.DUMMYFUNCTION("""COMPUTED_VALUE"""),"La Bosse")</f>
        <v/>
      </c>
    </row>
    <row r="124">
      <c r="A124" s="7">
        <f>IFERROR(__xludf.DUMMYFUNCTION("""COMPUTED_VALUE"""),"La Bruère-sur-Loir")</f>
        <v/>
      </c>
    </row>
    <row r="125">
      <c r="A125" s="7">
        <f>IFERROR(__xludf.DUMMYFUNCTION("""COMPUTED_VALUE"""),"La Chapelle-aux-Choux")</f>
        <v/>
      </c>
    </row>
    <row r="126">
      <c r="A126" s="7">
        <f>IFERROR(__xludf.DUMMYFUNCTION("""COMPUTED_VALUE"""),"La Chapelle-d'Aligné")</f>
        <v/>
      </c>
    </row>
    <row r="127">
      <c r="A127" s="7">
        <f>IFERROR(__xludf.DUMMYFUNCTION("""COMPUTED_VALUE"""),"La Chapelle-du-Bois")</f>
        <v/>
      </c>
    </row>
    <row r="128">
      <c r="A128" s="7">
        <f>IFERROR(__xludf.DUMMYFUNCTION("""COMPUTED_VALUE"""),"La Chapelle-Huon")</f>
        <v/>
      </c>
    </row>
    <row r="129">
      <c r="A129" s="7">
        <f>IFERROR(__xludf.DUMMYFUNCTION("""COMPUTED_VALUE"""),"La Chapelle-Saint-Aubin")</f>
        <v/>
      </c>
    </row>
    <row r="130">
      <c r="A130" s="7">
        <f>IFERROR(__xludf.DUMMYFUNCTION("""COMPUTED_VALUE"""),"La Chapelle-Saint-Fray")</f>
        <v/>
      </c>
    </row>
    <row r="131">
      <c r="A131" s="7">
        <f>IFERROR(__xludf.DUMMYFUNCTION("""COMPUTED_VALUE"""),"La Chapelle-Saint-Rémy")</f>
        <v/>
      </c>
    </row>
    <row r="132">
      <c r="A132" s="7">
        <f>IFERROR(__xludf.DUMMYFUNCTION("""COMPUTED_VALUE"""),"La Chartre-sur-le-Loir")</f>
        <v/>
      </c>
    </row>
    <row r="133">
      <c r="A133" s="7">
        <f>IFERROR(__xludf.DUMMYFUNCTION("""COMPUTED_VALUE"""),"La Ferté-Bernard")</f>
        <v/>
      </c>
    </row>
    <row r="134">
      <c r="A134" s="7">
        <f>IFERROR(__xludf.DUMMYFUNCTION("""COMPUTED_VALUE"""),"La Flèche")</f>
        <v/>
      </c>
    </row>
    <row r="135">
      <c r="A135" s="7">
        <f>IFERROR(__xludf.DUMMYFUNCTION("""COMPUTED_VALUE"""),"La Fontaine-Saint-Martin")</f>
        <v/>
      </c>
    </row>
    <row r="136">
      <c r="A136" s="7">
        <f>IFERROR(__xludf.DUMMYFUNCTION("""COMPUTED_VALUE"""),"La Guierche")</f>
        <v/>
      </c>
    </row>
    <row r="137">
      <c r="A137" s="7">
        <f>IFERROR(__xludf.DUMMYFUNCTION("""COMPUTED_VALUE"""),"La Milesse")</f>
        <v/>
      </c>
    </row>
    <row r="138">
      <c r="A138" s="7">
        <f>IFERROR(__xludf.DUMMYFUNCTION("""COMPUTED_VALUE"""),"La Quinte")</f>
        <v/>
      </c>
    </row>
    <row r="139">
      <c r="A139" s="7">
        <f>IFERROR(__xludf.DUMMYFUNCTION("""COMPUTED_VALUE"""),"La Suze-sur-Sarthe")</f>
        <v/>
      </c>
    </row>
    <row r="140">
      <c r="A140" s="7">
        <f>IFERROR(__xludf.DUMMYFUNCTION("""COMPUTED_VALUE"""),"Laigné-en-Belin")</f>
        <v/>
      </c>
    </row>
    <row r="141">
      <c r="A141" s="7">
        <f>IFERROR(__xludf.DUMMYFUNCTION("""COMPUTED_VALUE"""),"Lamnay")</f>
        <v/>
      </c>
    </row>
    <row r="142">
      <c r="A142" s="7">
        <f>IFERROR(__xludf.DUMMYFUNCTION("""COMPUTED_VALUE"""),"Lavardin")</f>
        <v/>
      </c>
    </row>
    <row r="143">
      <c r="A143" s="7">
        <f>IFERROR(__xludf.DUMMYFUNCTION("""COMPUTED_VALUE"""),"Lavaré")</f>
        <v/>
      </c>
    </row>
    <row r="144">
      <c r="A144" s="7">
        <f>IFERROR(__xludf.DUMMYFUNCTION("""COMPUTED_VALUE"""),"Lavernat")</f>
        <v/>
      </c>
    </row>
    <row r="145">
      <c r="A145" s="7">
        <f>IFERROR(__xludf.DUMMYFUNCTION("""COMPUTED_VALUE"""),"Le Bailleul")</f>
        <v/>
      </c>
    </row>
    <row r="146">
      <c r="A146" s="7">
        <f>IFERROR(__xludf.DUMMYFUNCTION("""COMPUTED_VALUE"""),"Le Breil-sur-Mérize")</f>
        <v/>
      </c>
    </row>
    <row r="147">
      <c r="A147" s="7">
        <f>IFERROR(__xludf.DUMMYFUNCTION("""COMPUTED_VALUE"""),"Le Grand-Lucé")</f>
        <v/>
      </c>
    </row>
    <row r="148">
      <c r="A148" s="7">
        <f>IFERROR(__xludf.DUMMYFUNCTION("""COMPUTED_VALUE"""),"Le Grez")</f>
        <v/>
      </c>
    </row>
    <row r="149">
      <c r="A149" s="7">
        <f>IFERROR(__xludf.DUMMYFUNCTION("""COMPUTED_VALUE"""),"Le Luart")</f>
        <v/>
      </c>
    </row>
    <row r="150">
      <c r="A150" s="7">
        <f>IFERROR(__xludf.DUMMYFUNCTION("""COMPUTED_VALUE"""),"Le Lude")</f>
        <v/>
      </c>
    </row>
    <row r="151">
      <c r="A151" s="7">
        <f>IFERROR(__xludf.DUMMYFUNCTION("""COMPUTED_VALUE"""),"Le Mans")</f>
        <v/>
      </c>
    </row>
    <row r="152">
      <c r="A152" s="7">
        <f>IFERROR(__xludf.DUMMYFUNCTION("""COMPUTED_VALUE"""),"Le Tronchet")</f>
        <v/>
      </c>
    </row>
    <row r="153">
      <c r="A153" s="7">
        <f>IFERROR(__xludf.DUMMYFUNCTION("""COMPUTED_VALUE"""),"Les Aulneaux")</f>
        <v/>
      </c>
    </row>
    <row r="154">
      <c r="A154" s="7">
        <f>IFERROR(__xludf.DUMMYFUNCTION("""COMPUTED_VALUE"""),"Les Mées")</f>
        <v/>
      </c>
    </row>
    <row r="155">
      <c r="A155" s="7">
        <f>IFERROR(__xludf.DUMMYFUNCTION("""COMPUTED_VALUE"""),"Lhomme")</f>
        <v/>
      </c>
    </row>
    <row r="156">
      <c r="A156" s="7">
        <f>IFERROR(__xludf.DUMMYFUNCTION("""COMPUTED_VALUE"""),"Ligron")</f>
        <v/>
      </c>
    </row>
    <row r="157">
      <c r="A157" s="7">
        <f>IFERROR(__xludf.DUMMYFUNCTION("""COMPUTED_VALUE"""),"Livet-en-Saosnois")</f>
        <v/>
      </c>
    </row>
    <row r="158">
      <c r="A158" s="7">
        <f>IFERROR(__xludf.DUMMYFUNCTION("""COMPUTED_VALUE"""),"Loir en Vallée")</f>
        <v/>
      </c>
    </row>
    <row r="159">
      <c r="A159" s="7">
        <f>IFERROR(__xludf.DUMMYFUNCTION("""COMPUTED_VALUE"""),"Lombron")</f>
        <v/>
      </c>
    </row>
    <row r="160">
      <c r="A160" s="7">
        <f>IFERROR(__xludf.DUMMYFUNCTION("""COMPUTED_VALUE"""),"Longnes")</f>
        <v/>
      </c>
    </row>
    <row r="161">
      <c r="A161" s="7">
        <f>IFERROR(__xludf.DUMMYFUNCTION("""COMPUTED_VALUE"""),"Louailles")</f>
        <v/>
      </c>
    </row>
    <row r="162">
      <c r="A162" s="7">
        <f>IFERROR(__xludf.DUMMYFUNCTION("""COMPUTED_VALUE"""),"Loué")</f>
        <v/>
      </c>
    </row>
    <row r="163">
      <c r="A163" s="7">
        <f>IFERROR(__xludf.DUMMYFUNCTION("""COMPUTED_VALUE"""),"Louplande")</f>
        <v/>
      </c>
    </row>
    <row r="164">
      <c r="A164" s="7">
        <f>IFERROR(__xludf.DUMMYFUNCTION("""COMPUTED_VALUE"""),"Louvigny")</f>
        <v/>
      </c>
    </row>
    <row r="165">
      <c r="A165" s="7">
        <f>IFERROR(__xludf.DUMMYFUNCTION("""COMPUTED_VALUE"""),"Louzes")</f>
        <v/>
      </c>
    </row>
    <row r="166">
      <c r="A166" s="7">
        <f>IFERROR(__xludf.DUMMYFUNCTION("""COMPUTED_VALUE"""),"Luceau")</f>
        <v/>
      </c>
    </row>
    <row r="167">
      <c r="A167" s="7">
        <f>IFERROR(__xludf.DUMMYFUNCTION("""COMPUTED_VALUE"""),"Lucé-sous-Ballon")</f>
        <v/>
      </c>
    </row>
    <row r="168">
      <c r="A168" s="7">
        <f>IFERROR(__xludf.DUMMYFUNCTION("""COMPUTED_VALUE"""),"Luché-Pringé")</f>
        <v/>
      </c>
    </row>
    <row r="169">
      <c r="A169" s="7">
        <f>IFERROR(__xludf.DUMMYFUNCTION("""COMPUTED_VALUE"""),"Maigné")</f>
        <v/>
      </c>
    </row>
    <row r="170">
      <c r="A170" s="7">
        <f>IFERROR(__xludf.DUMMYFUNCTION("""COMPUTED_VALUE"""),"Maisoncelles")</f>
        <v/>
      </c>
    </row>
    <row r="171">
      <c r="A171" s="7">
        <f>IFERROR(__xludf.DUMMYFUNCTION("""COMPUTED_VALUE"""),"Malicorne-sur-Sarthe")</f>
        <v/>
      </c>
    </row>
    <row r="172">
      <c r="A172" s="7">
        <f>IFERROR(__xludf.DUMMYFUNCTION("""COMPUTED_VALUE"""),"Mamers")</f>
        <v/>
      </c>
    </row>
    <row r="173">
      <c r="A173" s="7">
        <f>IFERROR(__xludf.DUMMYFUNCTION("""COMPUTED_VALUE"""),"Mansigné")</f>
        <v/>
      </c>
    </row>
    <row r="174">
      <c r="A174" s="7">
        <f>IFERROR(__xludf.DUMMYFUNCTION("""COMPUTED_VALUE"""),"Marçon")</f>
        <v/>
      </c>
    </row>
    <row r="175">
      <c r="A175" s="7">
        <f>IFERROR(__xludf.DUMMYFUNCTION("""COMPUTED_VALUE"""),"Mareil-en-Champagne")</f>
        <v/>
      </c>
    </row>
    <row r="176">
      <c r="A176" s="7">
        <f>IFERROR(__xludf.DUMMYFUNCTION("""COMPUTED_VALUE"""),"Mareil-sur-Loir")</f>
        <v/>
      </c>
    </row>
    <row r="177">
      <c r="A177" s="7">
        <f>IFERROR(__xludf.DUMMYFUNCTION("""COMPUTED_VALUE"""),"Maresché")</f>
        <v/>
      </c>
    </row>
    <row r="178">
      <c r="A178" s="7">
        <f>IFERROR(__xludf.DUMMYFUNCTION("""COMPUTED_VALUE"""),"Marigné-Laillé")</f>
        <v/>
      </c>
    </row>
    <row r="179">
      <c r="A179" s="7">
        <f>IFERROR(__xludf.DUMMYFUNCTION("""COMPUTED_VALUE"""),"Marolles-les-Braults")</f>
        <v/>
      </c>
    </row>
    <row r="180">
      <c r="A180" s="7">
        <f>IFERROR(__xludf.DUMMYFUNCTION("""COMPUTED_VALUE"""),"Marolles-lès-Saint-Calais")</f>
        <v/>
      </c>
    </row>
    <row r="181">
      <c r="A181" s="7">
        <f>IFERROR(__xludf.DUMMYFUNCTION("""COMPUTED_VALUE"""),"Marollette")</f>
        <v/>
      </c>
    </row>
    <row r="182">
      <c r="A182" s="7">
        <f>IFERROR(__xludf.DUMMYFUNCTION("""COMPUTED_VALUE"""),"Mayet")</f>
        <v/>
      </c>
    </row>
    <row r="183">
      <c r="A183" s="7">
        <f>IFERROR(__xludf.DUMMYFUNCTION("""COMPUTED_VALUE"""),"Melleray")</f>
        <v/>
      </c>
    </row>
    <row r="184">
      <c r="A184" s="7">
        <f>IFERROR(__xludf.DUMMYFUNCTION("""COMPUTED_VALUE"""),"Meurcé")</f>
        <v/>
      </c>
    </row>
    <row r="185">
      <c r="A185" s="7">
        <f>IFERROR(__xludf.DUMMYFUNCTION("""COMPUTED_VALUE"""),"Mézeray")</f>
        <v/>
      </c>
    </row>
    <row r="186">
      <c r="A186" s="7">
        <f>IFERROR(__xludf.DUMMYFUNCTION("""COMPUTED_VALUE"""),"Mézières-sous-Lavardin")</f>
        <v/>
      </c>
    </row>
    <row r="187">
      <c r="A187" s="7">
        <f>IFERROR(__xludf.DUMMYFUNCTION("""COMPUTED_VALUE"""),"Mézières-sur-Ponthouin")</f>
        <v/>
      </c>
    </row>
    <row r="188">
      <c r="A188" s="7">
        <f>IFERROR(__xludf.DUMMYFUNCTION("""COMPUTED_VALUE"""),"Moitron-sur-Sarthe")</f>
        <v/>
      </c>
    </row>
    <row r="189">
      <c r="A189" s="7">
        <f>IFERROR(__xludf.DUMMYFUNCTION("""COMPUTED_VALUE"""),"Moncé-en-Belin")</f>
        <v/>
      </c>
    </row>
    <row r="190">
      <c r="A190" s="7">
        <f>IFERROR(__xludf.DUMMYFUNCTION("""COMPUTED_VALUE"""),"Moncé-en-Saosnois")</f>
        <v/>
      </c>
    </row>
    <row r="191">
      <c r="A191" s="7">
        <f>IFERROR(__xludf.DUMMYFUNCTION("""COMPUTED_VALUE"""),"Monhoudou")</f>
        <v/>
      </c>
    </row>
    <row r="192">
      <c r="A192" s="7">
        <f>IFERROR(__xludf.DUMMYFUNCTION("""COMPUTED_VALUE"""),"Montaillé")</f>
        <v/>
      </c>
    </row>
    <row r="193">
      <c r="A193" s="7">
        <f>IFERROR(__xludf.DUMMYFUNCTION("""COMPUTED_VALUE"""),"Montbizot")</f>
        <v/>
      </c>
    </row>
    <row r="194">
      <c r="A194" s="7">
        <f>IFERROR(__xludf.DUMMYFUNCTION("""COMPUTED_VALUE"""),"Montfort-le-Gesnois")</f>
        <v/>
      </c>
    </row>
    <row r="195">
      <c r="A195" s="7">
        <f>IFERROR(__xludf.DUMMYFUNCTION("""COMPUTED_VALUE"""),"Montmirail")</f>
        <v/>
      </c>
    </row>
    <row r="196">
      <c r="A196" s="7">
        <f>IFERROR(__xludf.DUMMYFUNCTION("""COMPUTED_VALUE"""),"Montreuil-le-Chétif")</f>
        <v/>
      </c>
    </row>
    <row r="197">
      <c r="A197" s="7">
        <f>IFERROR(__xludf.DUMMYFUNCTION("""COMPUTED_VALUE"""),"Montreuil-le-Henri")</f>
        <v/>
      </c>
    </row>
    <row r="198">
      <c r="A198" s="7">
        <f>IFERROR(__xludf.DUMMYFUNCTION("""COMPUTED_VALUE"""),"Mont-Saint-Jean")</f>
        <v/>
      </c>
    </row>
    <row r="199">
      <c r="A199" s="7">
        <f>IFERROR(__xludf.DUMMYFUNCTION("""COMPUTED_VALUE"""),"Montval-sur-Loir")</f>
        <v/>
      </c>
    </row>
    <row r="200">
      <c r="A200" s="7">
        <f>IFERROR(__xludf.DUMMYFUNCTION("""COMPUTED_VALUE"""),"Moulins-le-Carbonnel")</f>
        <v/>
      </c>
    </row>
    <row r="201">
      <c r="A201" s="7">
        <f>IFERROR(__xludf.DUMMYFUNCTION("""COMPUTED_VALUE"""),"Mulsanne")</f>
        <v/>
      </c>
    </row>
    <row r="202">
      <c r="A202" s="7">
        <f>IFERROR(__xludf.DUMMYFUNCTION("""COMPUTED_VALUE"""),"Nauvay")</f>
        <v/>
      </c>
    </row>
    <row r="203">
      <c r="A203" s="7">
        <f>IFERROR(__xludf.DUMMYFUNCTION("""COMPUTED_VALUE"""),"Neufchâtel-en-Saosnois")</f>
        <v/>
      </c>
    </row>
    <row r="204">
      <c r="A204" s="7">
        <f>IFERROR(__xludf.DUMMYFUNCTION("""COMPUTED_VALUE"""),"Neuvillalais")</f>
        <v/>
      </c>
    </row>
    <row r="205">
      <c r="A205" s="7">
        <f>IFERROR(__xludf.DUMMYFUNCTION("""COMPUTED_VALUE"""),"Neuville-sur-Sarthe")</f>
        <v/>
      </c>
    </row>
    <row r="206">
      <c r="A206" s="7">
        <f>IFERROR(__xludf.DUMMYFUNCTION("""COMPUTED_VALUE"""),"Neuvillette-en-Charnie")</f>
        <v/>
      </c>
    </row>
    <row r="207">
      <c r="A207" s="7">
        <f>IFERROR(__xludf.DUMMYFUNCTION("""COMPUTED_VALUE"""),"Nogent-le-Bernard")</f>
        <v/>
      </c>
    </row>
    <row r="208">
      <c r="A208" s="7">
        <f>IFERROR(__xludf.DUMMYFUNCTION("""COMPUTED_VALUE"""),"Nogent-sur-Loir")</f>
        <v/>
      </c>
    </row>
    <row r="209">
      <c r="A209" s="7">
        <f>IFERROR(__xludf.DUMMYFUNCTION("""COMPUTED_VALUE"""),"Notre-Dame-du-Pé")</f>
        <v/>
      </c>
    </row>
    <row r="210">
      <c r="A210" s="7">
        <f>IFERROR(__xludf.DUMMYFUNCTION("""COMPUTED_VALUE"""),"Nouans")</f>
        <v/>
      </c>
    </row>
    <row r="211">
      <c r="A211" s="7">
        <f>IFERROR(__xludf.DUMMYFUNCTION("""COMPUTED_VALUE"""),"Noyen-sur-Sarthe")</f>
        <v/>
      </c>
    </row>
    <row r="212">
      <c r="A212" s="7">
        <f>IFERROR(__xludf.DUMMYFUNCTION("""COMPUTED_VALUE"""),"Nuillé-le-Jalais")</f>
        <v/>
      </c>
    </row>
    <row r="213">
      <c r="A213" s="7">
        <f>IFERROR(__xludf.DUMMYFUNCTION("""COMPUTED_VALUE"""),"Oisseau-le-Petit")</f>
        <v/>
      </c>
    </row>
    <row r="214">
      <c r="A214" s="7">
        <f>IFERROR(__xludf.DUMMYFUNCTION("""COMPUTED_VALUE"""),"Oizé")</f>
        <v/>
      </c>
    </row>
    <row r="215">
      <c r="A215" s="7">
        <f>IFERROR(__xludf.DUMMYFUNCTION("""COMPUTED_VALUE"""),"Panon")</f>
        <v/>
      </c>
    </row>
    <row r="216">
      <c r="A216" s="7">
        <f>IFERROR(__xludf.DUMMYFUNCTION("""COMPUTED_VALUE"""),"Parcé-sur-Sarthe")</f>
        <v/>
      </c>
    </row>
    <row r="217">
      <c r="A217" s="7">
        <f>IFERROR(__xludf.DUMMYFUNCTION("""COMPUTED_VALUE"""),"Parennes")</f>
        <v/>
      </c>
    </row>
    <row r="218">
      <c r="A218" s="7">
        <f>IFERROR(__xludf.DUMMYFUNCTION("""COMPUTED_VALUE"""),"Parigné-le-Pôlin")</f>
        <v/>
      </c>
    </row>
    <row r="219">
      <c r="A219" s="7">
        <f>IFERROR(__xludf.DUMMYFUNCTION("""COMPUTED_VALUE"""),"Parigné-l'Évêque")</f>
        <v/>
      </c>
    </row>
    <row r="220">
      <c r="A220" s="7">
        <f>IFERROR(__xludf.DUMMYFUNCTION("""COMPUTED_VALUE"""),"Peray")</f>
        <v/>
      </c>
    </row>
    <row r="221">
      <c r="A221" s="7">
        <f>IFERROR(__xludf.DUMMYFUNCTION("""COMPUTED_VALUE"""),"Pezé-le-Robert")</f>
        <v/>
      </c>
    </row>
    <row r="222">
      <c r="A222" s="7">
        <f>IFERROR(__xludf.DUMMYFUNCTION("""COMPUTED_VALUE"""),"Piacé")</f>
        <v/>
      </c>
    </row>
    <row r="223">
      <c r="A223" s="7">
        <f>IFERROR(__xludf.DUMMYFUNCTION("""COMPUTED_VALUE"""),"Pincé")</f>
        <v/>
      </c>
    </row>
    <row r="224">
      <c r="A224" s="7">
        <f>IFERROR(__xludf.DUMMYFUNCTION("""COMPUTED_VALUE"""),"Pirmil")</f>
        <v/>
      </c>
    </row>
    <row r="225">
      <c r="A225" s="7">
        <f>IFERROR(__xludf.DUMMYFUNCTION("""COMPUTED_VALUE"""),"Pizieux")</f>
        <v/>
      </c>
    </row>
    <row r="226">
      <c r="A226" s="7">
        <f>IFERROR(__xludf.DUMMYFUNCTION("""COMPUTED_VALUE"""),"Poillé-sur-Vègre")</f>
        <v/>
      </c>
    </row>
    <row r="227">
      <c r="A227" s="7">
        <f>IFERROR(__xludf.DUMMYFUNCTION("""COMPUTED_VALUE"""),"Poncé-sur-le-Loir")</f>
        <v/>
      </c>
    </row>
    <row r="228">
      <c r="A228" s="7">
        <f>IFERROR(__xludf.DUMMYFUNCTION("""COMPUTED_VALUE"""),"Pontvallain")</f>
        <v/>
      </c>
    </row>
    <row r="229">
      <c r="A229" s="7">
        <f>IFERROR(__xludf.DUMMYFUNCTION("""COMPUTED_VALUE"""),"Précigné")</f>
        <v/>
      </c>
    </row>
    <row r="230">
      <c r="A230" s="7">
        <f>IFERROR(__xludf.DUMMYFUNCTION("""COMPUTED_VALUE"""),"Préval")</f>
        <v/>
      </c>
    </row>
    <row r="231">
      <c r="A231" s="7">
        <f>IFERROR(__xludf.DUMMYFUNCTION("""COMPUTED_VALUE"""),"Prévelles")</f>
        <v/>
      </c>
    </row>
    <row r="232">
      <c r="A232" s="7">
        <f>IFERROR(__xludf.DUMMYFUNCTION("""COMPUTED_VALUE"""),"Pruillé-le-Chétif")</f>
        <v/>
      </c>
    </row>
    <row r="233">
      <c r="A233" s="7">
        <f>IFERROR(__xludf.DUMMYFUNCTION("""COMPUTED_VALUE"""),"Pruillé-l'Éguillé")</f>
        <v/>
      </c>
    </row>
    <row r="234">
      <c r="A234" s="7">
        <f>IFERROR(__xludf.DUMMYFUNCTION("""COMPUTED_VALUE"""),"Rahay")</f>
        <v/>
      </c>
    </row>
    <row r="235">
      <c r="A235" s="7">
        <f>IFERROR(__xludf.DUMMYFUNCTION("""COMPUTED_VALUE"""),"René")</f>
        <v/>
      </c>
    </row>
    <row r="236">
      <c r="A236" s="7">
        <f>IFERROR(__xludf.DUMMYFUNCTION("""COMPUTED_VALUE"""),"Requeil")</f>
        <v/>
      </c>
    </row>
    <row r="237">
      <c r="A237" s="7">
        <f>IFERROR(__xludf.DUMMYFUNCTION("""COMPUTED_VALUE"""),"Roézé-sur-Sarthe")</f>
        <v/>
      </c>
    </row>
    <row r="238">
      <c r="A238" s="7">
        <f>IFERROR(__xludf.DUMMYFUNCTION("""COMPUTED_VALUE"""),"Rouessé-Fontaine")</f>
        <v/>
      </c>
    </row>
    <row r="239">
      <c r="A239" s="7">
        <f>IFERROR(__xludf.DUMMYFUNCTION("""COMPUTED_VALUE"""),"Rouessé-Vassé")</f>
        <v/>
      </c>
    </row>
    <row r="240">
      <c r="A240" s="7">
        <f>IFERROR(__xludf.DUMMYFUNCTION("""COMPUTED_VALUE"""),"Rouez")</f>
        <v/>
      </c>
    </row>
    <row r="241">
      <c r="A241" s="7">
        <f>IFERROR(__xludf.DUMMYFUNCTION("""COMPUTED_VALUE"""),"Rouillon")</f>
        <v/>
      </c>
    </row>
    <row r="242">
      <c r="A242" s="7">
        <f>IFERROR(__xludf.DUMMYFUNCTION("""COMPUTED_VALUE"""),"Rouperroux-le-Coquet")</f>
        <v/>
      </c>
    </row>
    <row r="243">
      <c r="A243" s="7">
        <f>IFERROR(__xludf.DUMMYFUNCTION("""COMPUTED_VALUE"""),"Ruaudin")</f>
        <v/>
      </c>
    </row>
    <row r="244">
      <c r="A244" s="7">
        <f>IFERROR(__xludf.DUMMYFUNCTION("""COMPUTED_VALUE"""),"Ruillé-en-Champagne")</f>
        <v/>
      </c>
    </row>
    <row r="245">
      <c r="A245" s="7">
        <f>IFERROR(__xludf.DUMMYFUNCTION("""COMPUTED_VALUE"""),"Sablé-sur-Sarthe")</f>
        <v/>
      </c>
    </row>
    <row r="246">
      <c r="A246" s="7">
        <f>IFERROR(__xludf.DUMMYFUNCTION("""COMPUTED_VALUE"""),"Saint-Aignan")</f>
        <v/>
      </c>
    </row>
    <row r="247">
      <c r="A247" s="7">
        <f>IFERROR(__xludf.DUMMYFUNCTION("""COMPUTED_VALUE"""),"Saint-Aubin-de-Locquenay")</f>
        <v/>
      </c>
    </row>
    <row r="248">
      <c r="A248" s="7">
        <f>IFERROR(__xludf.DUMMYFUNCTION("""COMPUTED_VALUE"""),"Saint-Aubin-des-Coudrais")</f>
        <v/>
      </c>
    </row>
    <row r="249">
      <c r="A249" s="7">
        <f>IFERROR(__xludf.DUMMYFUNCTION("""COMPUTED_VALUE"""),"Saint-Biez-en-Belin")</f>
        <v/>
      </c>
    </row>
    <row r="250">
      <c r="A250" s="7">
        <f>IFERROR(__xludf.DUMMYFUNCTION("""COMPUTED_VALUE"""),"Saint-Calais")</f>
        <v/>
      </c>
    </row>
    <row r="251">
      <c r="A251" s="7">
        <f>IFERROR(__xludf.DUMMYFUNCTION("""COMPUTED_VALUE"""),"Saint-Calez-en-Saosnois")</f>
        <v/>
      </c>
    </row>
    <row r="252">
      <c r="A252" s="7">
        <f>IFERROR(__xludf.DUMMYFUNCTION("""COMPUTED_VALUE"""),"Saint-Célerin")</f>
        <v/>
      </c>
    </row>
    <row r="253">
      <c r="A253" s="7">
        <f>IFERROR(__xludf.DUMMYFUNCTION("""COMPUTED_VALUE"""),"Saint-Christophe-du-Jambet")</f>
        <v/>
      </c>
    </row>
    <row r="254">
      <c r="A254" s="7">
        <f>IFERROR(__xludf.DUMMYFUNCTION("""COMPUTED_VALUE"""),"Saint-Christophe-en-Champagne")</f>
        <v/>
      </c>
    </row>
    <row r="255">
      <c r="A255" s="7">
        <f>IFERROR(__xludf.DUMMYFUNCTION("""COMPUTED_VALUE"""),"Saint-Corneille")</f>
        <v/>
      </c>
    </row>
    <row r="256">
      <c r="A256" s="7">
        <f>IFERROR(__xludf.DUMMYFUNCTION("""COMPUTED_VALUE"""),"Saint-Cosme-en-Vairais")</f>
        <v/>
      </c>
    </row>
    <row r="257">
      <c r="A257" s="7">
        <f>IFERROR(__xludf.DUMMYFUNCTION("""COMPUTED_VALUE"""),"Saint-Denis-des-Coudrais")</f>
        <v/>
      </c>
    </row>
    <row r="258">
      <c r="A258" s="7">
        <f>IFERROR(__xludf.DUMMYFUNCTION("""COMPUTED_VALUE"""),"Saint-Denis-d'Orques")</f>
        <v/>
      </c>
    </row>
    <row r="259">
      <c r="A259" s="7">
        <f>IFERROR(__xludf.DUMMYFUNCTION("""COMPUTED_VALUE"""),"Sainte-Cérotte")</f>
        <v/>
      </c>
    </row>
    <row r="260">
      <c r="A260" s="7">
        <f>IFERROR(__xludf.DUMMYFUNCTION("""COMPUTED_VALUE"""),"Sainte-Jamme-sur-Sarthe")</f>
        <v/>
      </c>
    </row>
    <row r="261">
      <c r="A261" s="7">
        <f>IFERROR(__xludf.DUMMYFUNCTION("""COMPUTED_VALUE"""),"Sainte-Sabine-sur-Longève")</f>
        <v/>
      </c>
    </row>
    <row r="262">
      <c r="A262" s="7">
        <f>IFERROR(__xludf.DUMMYFUNCTION("""COMPUTED_VALUE"""),"Saint-Georges-de-la-Couée")</f>
        <v/>
      </c>
    </row>
    <row r="263">
      <c r="A263" s="7">
        <f>IFERROR(__xludf.DUMMYFUNCTION("""COMPUTED_VALUE"""),"Saint-Georges-du-Bois")</f>
        <v/>
      </c>
    </row>
    <row r="264">
      <c r="A264" s="7">
        <f>IFERROR(__xludf.DUMMYFUNCTION("""COMPUTED_VALUE"""),"Saint-Georges-du-Rosay")</f>
        <v/>
      </c>
    </row>
    <row r="265">
      <c r="A265" s="7">
        <f>IFERROR(__xludf.DUMMYFUNCTION("""COMPUTED_VALUE"""),"Saint-Georges-le-Gaultier")</f>
        <v/>
      </c>
    </row>
    <row r="266">
      <c r="A266" s="7">
        <f>IFERROR(__xludf.DUMMYFUNCTION("""COMPUTED_VALUE"""),"Saint-Germain-d'Arcé")</f>
        <v/>
      </c>
    </row>
    <row r="267">
      <c r="A267" s="7">
        <f>IFERROR(__xludf.DUMMYFUNCTION("""COMPUTED_VALUE"""),"Saint-Gervais-de-Vic")</f>
        <v/>
      </c>
    </row>
    <row r="268">
      <c r="A268" s="7">
        <f>IFERROR(__xludf.DUMMYFUNCTION("""COMPUTED_VALUE"""),"Saint-Gervais-en-Belin")</f>
        <v/>
      </c>
    </row>
    <row r="269">
      <c r="A269" s="7">
        <f>IFERROR(__xludf.DUMMYFUNCTION("""COMPUTED_VALUE"""),"Saint-Jean-d'Assé")</f>
        <v/>
      </c>
    </row>
    <row r="270">
      <c r="A270" s="7">
        <f>IFERROR(__xludf.DUMMYFUNCTION("""COMPUTED_VALUE"""),"Saint-Jean-de-la-Motte")</f>
        <v/>
      </c>
    </row>
    <row r="271">
      <c r="A271" s="7">
        <f>IFERROR(__xludf.DUMMYFUNCTION("""COMPUTED_VALUE"""),"Saint-Jean-des-Échelles")</f>
        <v/>
      </c>
    </row>
    <row r="272">
      <c r="A272" s="7">
        <f>IFERROR(__xludf.DUMMYFUNCTION("""COMPUTED_VALUE"""),"Saint-Jean-du-Bois")</f>
        <v/>
      </c>
    </row>
    <row r="273">
      <c r="A273" s="7">
        <f>IFERROR(__xludf.DUMMYFUNCTION("""COMPUTED_VALUE"""),"Saint-Léonard-des-Bois")</f>
        <v/>
      </c>
    </row>
    <row r="274">
      <c r="A274" s="7">
        <f>IFERROR(__xludf.DUMMYFUNCTION("""COMPUTED_VALUE"""),"Saint-Longis")</f>
        <v/>
      </c>
    </row>
    <row r="275">
      <c r="A275" s="7">
        <f>IFERROR(__xludf.DUMMYFUNCTION("""COMPUTED_VALUE"""),"Saint-Maixent")</f>
        <v/>
      </c>
    </row>
    <row r="276">
      <c r="A276" s="7">
        <f>IFERROR(__xludf.DUMMYFUNCTION("""COMPUTED_VALUE"""),"Saint-Marceau")</f>
        <v/>
      </c>
    </row>
    <row r="277">
      <c r="A277" s="7">
        <f>IFERROR(__xludf.DUMMYFUNCTION("""COMPUTED_VALUE"""),"Saint-Mars-de-Locquenay")</f>
        <v/>
      </c>
    </row>
    <row r="278">
      <c r="A278" s="7">
        <f>IFERROR(__xludf.DUMMYFUNCTION("""COMPUTED_VALUE"""),"Saint-Mars-d'Outillé")</f>
        <v/>
      </c>
    </row>
    <row r="279">
      <c r="A279" s="7">
        <f>IFERROR(__xludf.DUMMYFUNCTION("""COMPUTED_VALUE"""),"Saint-Mars-la-Brière")</f>
        <v/>
      </c>
    </row>
    <row r="280">
      <c r="A280" s="7">
        <f>IFERROR(__xludf.DUMMYFUNCTION("""COMPUTED_VALUE"""),"Saint-Martin-des-Monts")</f>
        <v/>
      </c>
    </row>
    <row r="281">
      <c r="A281" s="7">
        <f>IFERROR(__xludf.DUMMYFUNCTION("""COMPUTED_VALUE"""),"Saint-Michel-de-Chavaignes")</f>
        <v/>
      </c>
    </row>
    <row r="282">
      <c r="A282" s="7">
        <f>IFERROR(__xludf.DUMMYFUNCTION("""COMPUTED_VALUE"""),"Saint-Ouen-de-Mimbré")</f>
        <v/>
      </c>
    </row>
    <row r="283">
      <c r="A283" s="7">
        <f>IFERROR(__xludf.DUMMYFUNCTION("""COMPUTED_VALUE"""),"Saint-Ouen-en-Belin")</f>
        <v/>
      </c>
    </row>
    <row r="284">
      <c r="A284" s="7">
        <f>IFERROR(__xludf.DUMMYFUNCTION("""COMPUTED_VALUE"""),"Saint-Ouen-en-Champagne")</f>
        <v/>
      </c>
    </row>
    <row r="285">
      <c r="A285" s="7">
        <f>IFERROR(__xludf.DUMMYFUNCTION("""COMPUTED_VALUE"""),"Saint-Paterne - Le Chevain")</f>
        <v/>
      </c>
    </row>
    <row r="286">
      <c r="A286" s="7">
        <f>IFERROR(__xludf.DUMMYFUNCTION("""COMPUTED_VALUE"""),"Saint-Paul-le-Gaultier")</f>
        <v/>
      </c>
    </row>
    <row r="287">
      <c r="A287" s="7">
        <f>IFERROR(__xludf.DUMMYFUNCTION("""COMPUTED_VALUE"""),"Saint-Pavace")</f>
        <v/>
      </c>
    </row>
    <row r="288">
      <c r="A288" s="7">
        <f>IFERROR(__xludf.DUMMYFUNCTION("""COMPUTED_VALUE"""),"Saint-Pierre-de-Chevillé")</f>
        <v/>
      </c>
    </row>
    <row r="289">
      <c r="A289" s="7">
        <f>IFERROR(__xludf.DUMMYFUNCTION("""COMPUTED_VALUE"""),"Saint-Pierre-des-Bois")</f>
        <v/>
      </c>
    </row>
    <row r="290">
      <c r="A290" s="7">
        <f>IFERROR(__xludf.DUMMYFUNCTION("""COMPUTED_VALUE"""),"Saint-Pierre-des-Ormes")</f>
        <v/>
      </c>
    </row>
    <row r="291">
      <c r="A291" s="7">
        <f>IFERROR(__xludf.DUMMYFUNCTION("""COMPUTED_VALUE"""),"Saint-Pierre-du-Lorouër")</f>
        <v/>
      </c>
    </row>
    <row r="292">
      <c r="A292" s="7">
        <f>IFERROR(__xludf.DUMMYFUNCTION("""COMPUTED_VALUE"""),"Saint-Rémy-de-Sillé")</f>
        <v/>
      </c>
    </row>
    <row r="293">
      <c r="A293" s="7">
        <f>IFERROR(__xludf.DUMMYFUNCTION("""COMPUTED_VALUE"""),"Saint-Rémy-des-Monts")</f>
        <v/>
      </c>
    </row>
    <row r="294">
      <c r="A294" s="7">
        <f>IFERROR(__xludf.DUMMYFUNCTION("""COMPUTED_VALUE"""),"Saint-Rémy-du-Val")</f>
        <v/>
      </c>
    </row>
    <row r="295">
      <c r="A295" s="7">
        <f>IFERROR(__xludf.DUMMYFUNCTION("""COMPUTED_VALUE"""),"Saint-Saturnin")</f>
        <v/>
      </c>
    </row>
    <row r="296">
      <c r="A296" s="7">
        <f>IFERROR(__xludf.DUMMYFUNCTION("""COMPUTED_VALUE"""),"Saint-Symphorien")</f>
        <v/>
      </c>
    </row>
    <row r="297">
      <c r="A297" s="7">
        <f>IFERROR(__xludf.DUMMYFUNCTION("""COMPUTED_VALUE"""),"Saint-Ulphace")</f>
        <v/>
      </c>
    </row>
    <row r="298">
      <c r="A298" s="7">
        <f>IFERROR(__xludf.DUMMYFUNCTION("""COMPUTED_VALUE"""),"Saint-Victeur")</f>
        <v/>
      </c>
    </row>
    <row r="299">
      <c r="A299" s="7">
        <f>IFERROR(__xludf.DUMMYFUNCTION("""COMPUTED_VALUE"""),"Saint-Vincent-des-Prés")</f>
        <v/>
      </c>
    </row>
    <row r="300">
      <c r="A300" s="7">
        <f>IFERROR(__xludf.DUMMYFUNCTION("""COMPUTED_VALUE"""),"Saint-Vincent-du-Lorouër")</f>
        <v/>
      </c>
    </row>
    <row r="301">
      <c r="A301" s="7">
        <f>IFERROR(__xludf.DUMMYFUNCTION("""COMPUTED_VALUE"""),"Saosnes")</f>
        <v/>
      </c>
    </row>
    <row r="302">
      <c r="A302" s="7">
        <f>IFERROR(__xludf.DUMMYFUNCTION("""COMPUTED_VALUE"""),"Sarcé")</f>
        <v/>
      </c>
    </row>
    <row r="303">
      <c r="A303" s="7">
        <f>IFERROR(__xludf.DUMMYFUNCTION("""COMPUTED_VALUE"""),"Sargé-lès-le-Mans")</f>
        <v/>
      </c>
    </row>
    <row r="304">
      <c r="A304" s="7">
        <f>IFERROR(__xludf.DUMMYFUNCTION("""COMPUTED_VALUE"""),"Savigné-l'Évêque")</f>
        <v/>
      </c>
    </row>
    <row r="305">
      <c r="A305" s="7">
        <f>IFERROR(__xludf.DUMMYFUNCTION("""COMPUTED_VALUE"""),"Savigné-sous-le-Lude")</f>
        <v/>
      </c>
    </row>
    <row r="306">
      <c r="A306" s="7">
        <f>IFERROR(__xludf.DUMMYFUNCTION("""COMPUTED_VALUE"""),"Sceaux-sur-Huisne")</f>
        <v/>
      </c>
    </row>
    <row r="307">
      <c r="A307" s="7">
        <f>IFERROR(__xludf.DUMMYFUNCTION("""COMPUTED_VALUE"""),"Ségrie")</f>
        <v/>
      </c>
    </row>
    <row r="308">
      <c r="A308" s="7">
        <f>IFERROR(__xludf.DUMMYFUNCTION("""COMPUTED_VALUE"""),"Semur-en-Vallon")</f>
        <v/>
      </c>
    </row>
    <row r="309">
      <c r="A309" s="7">
        <f>IFERROR(__xludf.DUMMYFUNCTION("""COMPUTED_VALUE"""),"Sillé-le-Guillaume")</f>
        <v/>
      </c>
    </row>
    <row r="310">
      <c r="A310" s="7">
        <f>IFERROR(__xludf.DUMMYFUNCTION("""COMPUTED_VALUE"""),"Sillé-le-Philippe")</f>
        <v/>
      </c>
    </row>
    <row r="311">
      <c r="A311" s="7">
        <f>IFERROR(__xludf.DUMMYFUNCTION("""COMPUTED_VALUE"""),"Solesmes")</f>
        <v/>
      </c>
    </row>
    <row r="312">
      <c r="A312" s="7">
        <f>IFERROR(__xludf.DUMMYFUNCTION("""COMPUTED_VALUE"""),"Sougé-le-Ganelon")</f>
        <v/>
      </c>
    </row>
    <row r="313">
      <c r="A313" s="7">
        <f>IFERROR(__xludf.DUMMYFUNCTION("""COMPUTED_VALUE"""),"Souillé")</f>
        <v/>
      </c>
    </row>
    <row r="314">
      <c r="A314" s="7">
        <f>IFERROR(__xludf.DUMMYFUNCTION("""COMPUTED_VALUE"""),"Souligné-Flacé")</f>
        <v/>
      </c>
    </row>
    <row r="315">
      <c r="A315" s="7">
        <f>IFERROR(__xludf.DUMMYFUNCTION("""COMPUTED_VALUE"""),"Souligné-sous-Ballon")</f>
        <v/>
      </c>
    </row>
    <row r="316">
      <c r="A316" s="7">
        <f>IFERROR(__xludf.DUMMYFUNCTION("""COMPUTED_VALUE"""),"Soulitré")</f>
        <v/>
      </c>
    </row>
    <row r="317">
      <c r="A317" s="7">
        <f>IFERROR(__xludf.DUMMYFUNCTION("""COMPUTED_VALUE"""),"Souvigné-sur-Même")</f>
        <v/>
      </c>
    </row>
    <row r="318">
      <c r="A318" s="7">
        <f>IFERROR(__xludf.DUMMYFUNCTION("""COMPUTED_VALUE"""),"Souvigné-sur-Sarthe")</f>
        <v/>
      </c>
    </row>
    <row r="319">
      <c r="A319" s="7">
        <f>IFERROR(__xludf.DUMMYFUNCTION("""COMPUTED_VALUE"""),"Spay")</f>
        <v/>
      </c>
    </row>
    <row r="320">
      <c r="A320" s="7">
        <f>IFERROR(__xludf.DUMMYFUNCTION("""COMPUTED_VALUE"""),"Surfonds")</f>
        <v/>
      </c>
    </row>
    <row r="321">
      <c r="A321" s="7">
        <f>IFERROR(__xludf.DUMMYFUNCTION("""COMPUTED_VALUE"""),"Tassé")</f>
        <v/>
      </c>
    </row>
    <row r="322">
      <c r="A322" s="7">
        <f>IFERROR(__xludf.DUMMYFUNCTION("""COMPUTED_VALUE"""),"Tassillé")</f>
        <v/>
      </c>
    </row>
    <row r="323">
      <c r="A323" s="7">
        <f>IFERROR(__xludf.DUMMYFUNCTION("""COMPUTED_VALUE"""),"Teillé")</f>
        <v/>
      </c>
    </row>
    <row r="324">
      <c r="A324" s="7">
        <f>IFERROR(__xludf.DUMMYFUNCTION("""COMPUTED_VALUE"""),"Teloché")</f>
        <v/>
      </c>
    </row>
    <row r="325">
      <c r="A325" s="7">
        <f>IFERROR(__xludf.DUMMYFUNCTION("""COMPUTED_VALUE"""),"Tennie")</f>
        <v/>
      </c>
    </row>
    <row r="326">
      <c r="A326" s="7">
        <f>IFERROR(__xludf.DUMMYFUNCTION("""COMPUTED_VALUE"""),"Terrehault")</f>
        <v/>
      </c>
    </row>
    <row r="327">
      <c r="A327" s="7">
        <f>IFERROR(__xludf.DUMMYFUNCTION("""COMPUTED_VALUE"""),"Théligny")</f>
        <v/>
      </c>
    </row>
    <row r="328">
      <c r="A328" s="7">
        <f>IFERROR(__xludf.DUMMYFUNCTION("""COMPUTED_VALUE"""),"Thoigné")</f>
        <v/>
      </c>
    </row>
    <row r="329">
      <c r="A329" s="7">
        <f>IFERROR(__xludf.DUMMYFUNCTION("""COMPUTED_VALUE"""),"Thoiré-sous-Contensor")</f>
        <v/>
      </c>
    </row>
    <row r="330">
      <c r="A330" s="7">
        <f>IFERROR(__xludf.DUMMYFUNCTION("""COMPUTED_VALUE"""),"Thoiré-sur-Dinan")</f>
        <v/>
      </c>
    </row>
    <row r="331">
      <c r="A331" s="7">
        <f>IFERROR(__xludf.DUMMYFUNCTION("""COMPUTED_VALUE"""),"Thorée-les-Pins")</f>
        <v/>
      </c>
    </row>
    <row r="332">
      <c r="A332" s="7">
        <f>IFERROR(__xludf.DUMMYFUNCTION("""COMPUTED_VALUE"""),"Thorigné-sur-Dué")</f>
        <v/>
      </c>
    </row>
    <row r="333">
      <c r="A333" s="7">
        <f>IFERROR(__xludf.DUMMYFUNCTION("""COMPUTED_VALUE"""),"Torcé-en-Vallée")</f>
        <v/>
      </c>
    </row>
    <row r="334">
      <c r="A334" s="7">
        <f>IFERROR(__xludf.DUMMYFUNCTION("""COMPUTED_VALUE"""),"Trangé")</f>
        <v/>
      </c>
    </row>
    <row r="335">
      <c r="A335" s="7">
        <f>IFERROR(__xludf.DUMMYFUNCTION("""COMPUTED_VALUE"""),"Tresson")</f>
        <v/>
      </c>
    </row>
    <row r="336">
      <c r="A336" s="7">
        <f>IFERROR(__xludf.DUMMYFUNCTION("""COMPUTED_VALUE"""),"Tuffé Val de la Chéronne")</f>
        <v/>
      </c>
    </row>
    <row r="337">
      <c r="A337" s="7">
        <f>IFERROR(__xludf.DUMMYFUNCTION("""COMPUTED_VALUE"""),"Vaas")</f>
        <v/>
      </c>
    </row>
    <row r="338">
      <c r="A338" s="7">
        <f>IFERROR(__xludf.DUMMYFUNCTION("""COMPUTED_VALUE"""),"Val-d'Étangson")</f>
        <v/>
      </c>
    </row>
    <row r="339">
      <c r="A339" s="7">
        <f>IFERROR(__xludf.DUMMYFUNCTION("""COMPUTED_VALUE"""),"Valennes")</f>
        <v/>
      </c>
    </row>
    <row r="340">
      <c r="A340" s="7">
        <f>IFERROR(__xludf.DUMMYFUNCTION("""COMPUTED_VALUE"""),"Vallon-sur-Gée")</f>
        <v/>
      </c>
    </row>
    <row r="341">
      <c r="A341" s="7">
        <f>IFERROR(__xludf.DUMMYFUNCTION("""COMPUTED_VALUE"""),"Vancé")</f>
        <v/>
      </c>
    </row>
    <row r="342">
      <c r="A342" s="7">
        <f>IFERROR(__xludf.DUMMYFUNCTION("""COMPUTED_VALUE"""),"Verneil-le-Chétif")</f>
        <v/>
      </c>
    </row>
    <row r="343">
      <c r="A343" s="7">
        <f>IFERROR(__xludf.DUMMYFUNCTION("""COMPUTED_VALUE"""),"Vernie")</f>
        <v/>
      </c>
    </row>
    <row r="344">
      <c r="A344" s="7">
        <f>IFERROR(__xludf.DUMMYFUNCTION("""COMPUTED_VALUE"""),"Vezot")</f>
        <v/>
      </c>
    </row>
    <row r="345">
      <c r="A345" s="7">
        <f>IFERROR(__xludf.DUMMYFUNCTION("""COMPUTED_VALUE"""),"Vibraye")</f>
        <v/>
      </c>
    </row>
    <row r="346">
      <c r="A346" s="7">
        <f>IFERROR(__xludf.DUMMYFUNCTION("""COMPUTED_VALUE"""),"Villaines-la-Carelle")</f>
        <v/>
      </c>
    </row>
    <row r="347">
      <c r="A347" s="7">
        <f>IFERROR(__xludf.DUMMYFUNCTION("""COMPUTED_VALUE"""),"Villaines-la-Gonais")</f>
        <v/>
      </c>
    </row>
    <row r="348">
      <c r="A348" s="7">
        <f>IFERROR(__xludf.DUMMYFUNCTION("""COMPUTED_VALUE"""),"Villaines-sous-Lucé")</f>
        <v/>
      </c>
    </row>
    <row r="349">
      <c r="A349" s="7">
        <f>IFERROR(__xludf.DUMMYFUNCTION("""COMPUTED_VALUE"""),"Villaines-sous-Malicorne")</f>
        <v/>
      </c>
    </row>
    <row r="350">
      <c r="A350" s="7">
        <f>IFERROR(__xludf.DUMMYFUNCTION("""COMPUTED_VALUE"""),"Villeneuve-en-Perseigne")</f>
        <v/>
      </c>
    </row>
    <row r="351">
      <c r="A351" s="7">
        <f>IFERROR(__xludf.DUMMYFUNCTION("""COMPUTED_VALUE"""),"Vion")</f>
        <v/>
      </c>
    </row>
    <row r="352">
      <c r="A352" s="7">
        <f>IFERROR(__xludf.DUMMYFUNCTION("""COMPUTED_VALUE"""),"Viré-en-Champagne")</f>
        <v/>
      </c>
    </row>
    <row r="353">
      <c r="A353" s="7">
        <f>IFERROR(__xludf.DUMMYFUNCTION("""COMPUTED_VALUE"""),"Vivoin")</f>
        <v/>
      </c>
    </row>
    <row r="354">
      <c r="A354" s="7">
        <f>IFERROR(__xludf.DUMMYFUNCTION("""COMPUTED_VALUE"""),"Voivres-lès-le-Mans")</f>
        <v/>
      </c>
    </row>
    <row r="355">
      <c r="A355" s="7">
        <f>IFERROR(__xludf.DUMMYFUNCTION("""COMPUTED_VALUE"""),"Volnay")</f>
        <v/>
      </c>
    </row>
    <row r="356">
      <c r="A356" s="7">
        <f>IFERROR(__xludf.DUMMYFUNCTION("""COMPUTED_VALUE"""),"Vouvray sur Loir")</f>
        <v/>
      </c>
    </row>
    <row r="357">
      <c r="A357" s="7">
        <f>IFERROR(__xludf.DUMMYFUNCTION("""COMPUTED_VALUE"""),"Vouvray-sur-Huisne")</f>
        <v/>
      </c>
    </row>
    <row r="358">
      <c r="A358" s="7">
        <f>IFERROR(__xludf.DUMMYFUNCTION("""COMPUTED_VALUE"""),"Yvré-le-Pôlin")</f>
        <v/>
      </c>
    </row>
    <row r="359">
      <c r="A359" s="7">
        <f>IFERROR(__xludf.DUMMYFUNCTION("""COMPUTED_VALUE"""),"Yvré-l'Évêque")</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193"/>
  <sheetViews>
    <sheetView workbookViewId="0">
      <selection activeCell="A1" sqref="A1"/>
    </sheetView>
  </sheetViews>
  <sheetFormatPr baseColWidth="8" defaultColWidth="12.63" defaultRowHeight="15.75" customHeight="1"/>
  <cols>
    <col width="34.25" customWidth="1" style="40" min="1" max="1"/>
  </cols>
  <sheetData>
    <row r="1">
      <c r="A1" s="7">
        <f>IFERROR(__xludf.DUMMYFUNCTION("IMPORTRANGE(""1iugLAvJSj_i4svj4QOeGLEwU8HgGvzDtNQQgc-bN6eE"", ""salles_lieux!A2:A194"")"),"Abbaye Royale de l'Épau")</f>
        <v/>
      </c>
    </row>
    <row r="2">
      <c r="A2" s="7">
        <f>IFERROR(__xludf.DUMMYFUNCTION("""COMPUTED_VALUE"""),"Bal MoulinSart")</f>
        <v/>
      </c>
    </row>
    <row r="3">
      <c r="A3" s="7">
        <f>IFERROR(__xludf.DUMMYFUNCTION("""COMPUTED_VALUE"""),"Bar La P'tite Marie")</f>
        <v/>
      </c>
    </row>
    <row r="4">
      <c r="A4" s="7">
        <f>IFERROR(__xludf.DUMMYFUNCTION("""COMPUTED_VALUE"""),"Base de loisirs")</f>
        <v/>
      </c>
    </row>
    <row r="5">
      <c r="A5" s="7">
        <f>IFERROR(__xludf.DUMMYFUNCTION("""COMPUTED_VALUE"""),"Bières et Chopes")</f>
        <v/>
      </c>
    </row>
    <row r="6">
      <c r="A6" s="7">
        <f>IFERROR(__xludf.DUMMYFUNCTION("""COMPUTED_VALUE"""),"Bistro Broc Café")</f>
        <v/>
      </c>
    </row>
    <row r="7">
      <c r="A7" s="7">
        <f>IFERROR(__xludf.DUMMYFUNCTION("""COMPUTED_VALUE"""),"Blue dog")</f>
        <v/>
      </c>
    </row>
    <row r="8">
      <c r="A8" s="7">
        <f>IFERROR(__xludf.DUMMYFUNCTION("""COMPUTED_VALUE"""),"Blue Zinc")</f>
        <v/>
      </c>
    </row>
    <row r="9">
      <c r="A9" s="7">
        <f>IFERROR(__xludf.DUMMYFUNCTION("""COMPUTED_VALUE"""),"Boire du bon")</f>
        <v/>
      </c>
    </row>
    <row r="10">
      <c r="A10" s="7">
        <f>IFERROR(__xludf.DUMMYFUNCTION("""COMPUTED_VALUE"""),"Brasserie Bizarre")</f>
        <v/>
      </c>
    </row>
    <row r="11">
      <c r="A11" s="7">
        <f>IFERROR(__xludf.DUMMYFUNCTION("""COMPUTED_VALUE"""),"Brasserie Mage Malte")</f>
        <v/>
      </c>
    </row>
    <row r="12">
      <c r="A12" s="7">
        <f>IFERROR(__xludf.DUMMYFUNCTION("""COMPUTED_VALUE"""),"Brasserie Septante Deux")</f>
        <v/>
      </c>
    </row>
    <row r="13">
      <c r="A13" s="7">
        <f>IFERROR(__xludf.DUMMYFUNCTION("""COMPUTED_VALUE"""),"Café de la place")</f>
        <v/>
      </c>
    </row>
    <row r="14">
      <c r="A14" s="7">
        <f>IFERROR(__xludf.DUMMYFUNCTION("""COMPUTED_VALUE"""),"Cathédrale St Julien")</f>
        <v/>
      </c>
    </row>
    <row r="15">
      <c r="A15" s="7">
        <f>IFERROR(__xludf.DUMMYFUNCTION("""COMPUTED_VALUE"""),"Centre Beaulieu")</f>
        <v/>
      </c>
    </row>
    <row r="16">
      <c r="A16" s="7">
        <f>IFERROR(__xludf.DUMMYFUNCTION("""COMPUTED_VALUE"""),"Centre Culturel Athéna")</f>
        <v/>
      </c>
    </row>
    <row r="17">
      <c r="A17" s="7">
        <f>IFERROR(__xludf.DUMMYFUNCTION("""COMPUTED_VALUE"""),"Centre Culturel Le Courmesnil")</f>
        <v/>
      </c>
    </row>
    <row r="18">
      <c r="A18" s="7">
        <f>IFERROR(__xludf.DUMMYFUNCTION("""COMPUTED_VALUE"""),"Centre de loisirs des Étangs-Chauds")</f>
        <v/>
      </c>
    </row>
    <row r="19">
      <c r="A19" s="7">
        <f>IFERROR(__xludf.DUMMYFUNCTION("""COMPUTED_VALUE"""),"Centre social Gisèle Halimi")</f>
        <v/>
      </c>
    </row>
    <row r="20">
      <c r="A20" s="7">
        <f>IFERROR(__xludf.DUMMYFUNCTION("""COMPUTED_VALUE"""),"Chapelle de l’Oratoire")</f>
        <v/>
      </c>
    </row>
    <row r="21">
      <c r="A21" s="7">
        <f>IFERROR(__xludf.DUMMYFUNCTION("""COMPUTED_VALUE"""),"Chapiteau promenade Newton")</f>
        <v/>
      </c>
    </row>
    <row r="22">
      <c r="A22" s="7">
        <f>IFERROR(__xludf.DUMMYFUNCTION("""COMPUTED_VALUE"""),"Chapiteau-Théâtre")</f>
        <v/>
      </c>
    </row>
    <row r="23">
      <c r="A23" s="7">
        <f>IFERROR(__xludf.DUMMYFUNCTION("""COMPUTED_VALUE"""),"Chapiteau, parc de Casablanca")</f>
        <v/>
      </c>
    </row>
    <row r="24">
      <c r="A24" s="7">
        <f>IFERROR(__xludf.DUMMYFUNCTION("""COMPUTED_VALUE"""),"Chez Marcelle")</f>
        <v/>
      </c>
    </row>
    <row r="25">
      <c r="A25" s="7">
        <f>IFERROR(__xludf.DUMMYFUNCTION("""COMPUTED_VALUE"""),"Chope et Compagnie Le Mans Nord")</f>
        <v/>
      </c>
    </row>
    <row r="26">
      <c r="A26" s="7">
        <f>IFERROR(__xludf.DUMMYFUNCTION("""COMPUTED_VALUE"""),"Chope et Compagnie Le Mans Sud")</f>
        <v/>
      </c>
    </row>
    <row r="27">
      <c r="A27" s="7">
        <f>IFERROR(__xludf.DUMMYFUNCTION("""COMPUTED_VALUE"""),"Chorus, scène de jazz")</f>
        <v/>
      </c>
    </row>
    <row r="28">
      <c r="A28" s="7">
        <f>IFERROR(__xludf.DUMMYFUNCTION("""COMPUTED_VALUE"""),"Cinéma Pathé")</f>
        <v/>
      </c>
    </row>
    <row r="29">
      <c r="A29" s="7">
        <f>IFERROR(__xludf.DUMMYFUNCTION("""COMPUTED_VALUE"""),"Circuit de la Bière")</f>
        <v/>
      </c>
    </row>
    <row r="30">
      <c r="A30" s="7">
        <f>IFERROR(__xludf.DUMMYFUNCTION("""COMPUTED_VALUE"""),"Cirque Mimulus")</f>
        <v/>
      </c>
    </row>
    <row r="31">
      <c r="A31" s="7">
        <f>IFERROR(__xludf.DUMMYFUNCTION("""COMPUTED_VALUE"""),"Cité du cirque")</f>
        <v/>
      </c>
    </row>
    <row r="32">
      <c r="A32" s="7">
        <f>IFERROR(__xludf.DUMMYFUNCTION("""COMPUTED_VALUE"""),"CoCo Plage")</f>
        <v/>
      </c>
    </row>
    <row r="33">
      <c r="A33" s="7">
        <f>IFERROR(__xludf.DUMMYFUNCTION("""COMPUTED_VALUE"""),"Collégiale St-Pierre-la-Cour")</f>
        <v/>
      </c>
    </row>
    <row r="34">
      <c r="A34" s="7">
        <f>IFERROR(__xludf.DUMMYFUNCTION("""COMPUTED_VALUE"""),"Comédie Le Mans")</f>
        <v/>
      </c>
    </row>
    <row r="35">
      <c r="A35" s="7">
        <f>IFERROR(__xludf.DUMMYFUNCTION("""COMPUTED_VALUE"""),"CPFI")</f>
        <v/>
      </c>
    </row>
    <row r="36">
      <c r="A36" s="7">
        <f>IFERROR(__xludf.DUMMYFUNCTION("""COMPUTED_VALUE"""),"Crafty Pub")</f>
        <v/>
      </c>
    </row>
    <row r="37">
      <c r="A37" s="7">
        <f>IFERROR(__xludf.DUMMYFUNCTION("""COMPUTED_VALUE"""),"Église")</f>
        <v/>
      </c>
    </row>
    <row r="38">
      <c r="A38" s="7">
        <f>IFERROR(__xludf.DUMMYFUNCTION("""COMPUTED_VALUE"""),"Église de Mulsanne")</f>
        <v/>
      </c>
    </row>
    <row r="39">
      <c r="A39" s="7">
        <f>IFERROR(__xludf.DUMMYFUNCTION("""COMPUTED_VALUE"""),"Église Notre Dame")</f>
        <v/>
      </c>
    </row>
    <row r="40">
      <c r="A40" s="7">
        <f>IFERROR(__xludf.DUMMYFUNCTION("""COMPUTED_VALUE"""),"Église N.D. de la Couture")</f>
        <v/>
      </c>
    </row>
    <row r="41">
      <c r="A41" s="7">
        <f>IFERROR(__xludf.DUMMYFUNCTION("""COMPUTED_VALUE"""),"Espace culturel L'Orée du Bois")</f>
        <v/>
      </c>
    </row>
    <row r="42">
      <c r="A42" s="7">
        <f>IFERROR(__xludf.DUMMYFUNCTION("""COMPUTED_VALUE"""),"Espace Henri Salvador")</f>
        <v/>
      </c>
    </row>
    <row r="43">
      <c r="A43" s="7">
        <f>IFERROR(__xludf.DUMMYFUNCTION("""COMPUTED_VALUE"""),"Espace Le Narais")</f>
        <v/>
      </c>
    </row>
    <row r="44">
      <c r="A44" s="7">
        <f>IFERROR(__xludf.DUMMYFUNCTION("""COMPUTED_VALUE"""),"Espace Madeleine Marie")</f>
        <v/>
      </c>
    </row>
    <row r="45">
      <c r="A45" s="7">
        <f>IFERROR(__xludf.DUMMYFUNCTION("""COMPUTED_VALUE"""),"Espace Ronsard")</f>
        <v/>
      </c>
    </row>
    <row r="46">
      <c r="A46" s="7">
        <f>IFERROR(__xludf.DUMMYFUNCTION("""COMPUTED_VALUE"""),"Espace Saugonna")</f>
        <v/>
      </c>
    </row>
    <row r="47">
      <c r="A47" s="7">
        <f>IFERROR(__xludf.DUMMYFUNCTION("""COMPUTED_VALUE"""),"Espace Scélia")</f>
        <v/>
      </c>
    </row>
    <row r="48">
      <c r="A48" s="7">
        <f>IFERROR(__xludf.DUMMYFUNCTION("""COMPUTED_VALUE"""),"Eve scène universitaire")</f>
        <v/>
      </c>
    </row>
    <row r="49">
      <c r="A49" s="7">
        <f>IFERROR(__xludf.DUMMYFUNCTION("""COMPUTED_VALUE"""),"Guinguette au bord du Loir")</f>
        <v/>
      </c>
    </row>
    <row r="50">
      <c r="A50" s="7">
        <f>IFERROR(__xludf.DUMMYFUNCTION("""COMPUTED_VALUE"""),"Guinguette des Tanneries")</f>
        <v/>
      </c>
    </row>
    <row r="51">
      <c r="A51" s="7">
        <f>IFERROR(__xludf.DUMMYFUNCTION("""COMPUTED_VALUE"""),"Gymnase Jules Ferry")</f>
        <v/>
      </c>
    </row>
    <row r="52">
      <c r="A52" s="7">
        <f>IFERROR(__xludf.DUMMYFUNCTION("""COMPUTED_VALUE"""),"Halles")</f>
        <v/>
      </c>
    </row>
    <row r="53">
      <c r="A53" s="7">
        <f>IFERROR(__xludf.DUMMYFUNCTION("""COMPUTED_VALUE"""),"Halles Denis Béalet")</f>
        <v/>
      </c>
    </row>
    <row r="54">
      <c r="A54" s="7">
        <f>IFERROR(__xludf.DUMMYFUNCTION("""COMPUTED_VALUE"""),"Hangar Créalab")</f>
        <v/>
      </c>
    </row>
    <row r="55">
      <c r="A55" s="7">
        <f>IFERROR(__xludf.DUMMYFUNCTION("""COMPUTED_VALUE"""),"Hop Store")</f>
        <v/>
      </c>
    </row>
    <row r="56">
      <c r="A56" s="7">
        <f>IFERROR(__xludf.DUMMYFUNCTION("""COMPUTED_VALUE"""),"Il était une fois...")</f>
        <v/>
      </c>
    </row>
    <row r="57">
      <c r="A57" s="7">
        <f>IFERROR(__xludf.DUMMYFUNCTION("""COMPUTED_VALUE"""),"Île aux Planches")</f>
        <v/>
      </c>
    </row>
    <row r="58">
      <c r="A58" s="7">
        <f>IFERROR(__xludf.DUMMYFUNCTION("""COMPUTED_VALUE"""),"Île Moulinsart")</f>
        <v/>
      </c>
    </row>
    <row r="59">
      <c r="A59" s="7">
        <f>IFERROR(__xludf.DUMMYFUNCTION("""COMPUTED_VALUE"""),"Impact Asso/Impact Klub")</f>
        <v/>
      </c>
    </row>
    <row r="60">
      <c r="A60" s="7">
        <f>IFERROR(__xludf.DUMMYFUNCTION("""COMPUTED_VALUE"""),"Kiosque du Jardin des Plantes")</f>
        <v/>
      </c>
    </row>
    <row r="61">
      <c r="A61" s="7">
        <f>IFERROR(__xludf.DUMMYFUNCTION("""COMPUTED_VALUE"""),"L'Alambik MJC Ronceray")</f>
        <v/>
      </c>
    </row>
    <row r="62">
      <c r="A62" s="7">
        <f>IFERROR(__xludf.DUMMYFUNCTION("""COMPUTED_VALUE"""),"L'Asgard")</f>
        <v/>
      </c>
    </row>
    <row r="63">
      <c r="A63" s="7">
        <f>IFERROR(__xludf.DUMMYFUNCTION("""COMPUTED_VALUE"""),"L'Austral")</f>
        <v/>
      </c>
    </row>
    <row r="64">
      <c r="A64" s="7">
        <f>IFERROR(__xludf.DUMMYFUNCTION("""COMPUTED_VALUE"""),"L’Ébauche")</f>
        <v/>
      </c>
    </row>
    <row r="65">
      <c r="A65" s="7">
        <f>IFERROR(__xludf.DUMMYFUNCTION("""COMPUTED_VALUE"""),"L'Entracte")</f>
        <v/>
      </c>
    </row>
    <row r="66">
      <c r="A66" s="7">
        <f>IFERROR(__xludf.DUMMYFUNCTION("""COMPUTED_VALUE"""),"L’Envol")</f>
        <v/>
      </c>
    </row>
    <row r="67">
      <c r="A67" s="7">
        <f>IFERROR(__xludf.DUMMYFUNCTION("""COMPUTED_VALUE"""),"L’Éolienne")</f>
        <v/>
      </c>
    </row>
    <row r="68">
      <c r="A68" s="7">
        <f>IFERROR(__xludf.DUMMYFUNCTION("""COMPUTED_VALUE"""),"L'Epicerie du pré")</f>
        <v/>
      </c>
    </row>
    <row r="69">
      <c r="A69" s="7">
        <f>IFERROR(__xludf.DUMMYFUNCTION("""COMPUTED_VALUE"""),"L'espace Vègre et Champagne")</f>
        <v/>
      </c>
    </row>
    <row r="70">
      <c r="A70" s="7">
        <f>IFERROR(__xludf.DUMMYFUNCTION("""COMPUTED_VALUE"""),"L’Espal")</f>
        <v/>
      </c>
    </row>
    <row r="71">
      <c r="A71" s="7">
        <f>IFERROR(__xludf.DUMMYFUNCTION("""COMPUTED_VALUE"""),"L'Etable")</f>
        <v/>
      </c>
    </row>
    <row r="72">
      <c r="A72" s="7">
        <f>IFERROR(__xludf.DUMMYFUNCTION("""COMPUTED_VALUE"""),"L'Îlot Co")</f>
        <v/>
      </c>
    </row>
    <row r="73">
      <c r="A73" s="7">
        <f>IFERROR(__xludf.DUMMYFUNCTION("""COMPUTED_VALUE"""),"L'Inventaire")</f>
        <v/>
      </c>
    </row>
    <row r="74">
      <c r="A74" s="7">
        <f>IFERROR(__xludf.DUMMYFUNCTION("""COMPUTED_VALUE"""),"L'Oasis")</f>
        <v/>
      </c>
    </row>
    <row r="75">
      <c r="A75" s="7">
        <f>IFERROR(__xludf.DUMMYFUNCTION("""COMPUTED_VALUE"""),"L’Oasis")</f>
        <v/>
      </c>
    </row>
    <row r="76">
      <c r="A76" s="7">
        <f>IFERROR(__xludf.DUMMYFUNCTION("""COMPUTED_VALUE"""),"L'Olivier")</f>
        <v/>
      </c>
    </row>
    <row r="77">
      <c r="A77" s="7">
        <f>IFERROR(__xludf.DUMMYFUNCTION("""COMPUTED_VALUE"""),"La Brass'vie")</f>
        <v/>
      </c>
    </row>
    <row r="78">
      <c r="A78" s="7">
        <f>IFERROR(__xludf.DUMMYFUNCTION("""COMPUTED_VALUE"""),"La Castélorienne")</f>
        <v/>
      </c>
    </row>
    <row r="79">
      <c r="A79" s="7">
        <f>IFERROR(__xludf.DUMMYFUNCTION("""COMPUTED_VALUE"""),"La Cave le st leo")</f>
        <v/>
      </c>
    </row>
    <row r="80">
      <c r="A80" s="7">
        <f>IFERROR(__xludf.DUMMYFUNCTION("""COMPUTED_VALUE"""),"La Chicane")</f>
        <v/>
      </c>
    </row>
    <row r="81">
      <c r="A81" s="7">
        <f>IFERROR(__xludf.DUMMYFUNCTION("""COMPUTED_VALUE"""),"La Citadelle des Anges")</f>
        <v/>
      </c>
    </row>
    <row r="82">
      <c r="A82" s="7">
        <f>IFERROR(__xludf.DUMMYFUNCTION("""COMPUTED_VALUE"""),"La Fonderie")</f>
        <v/>
      </c>
    </row>
    <row r="83">
      <c r="A83" s="7">
        <f>IFERROR(__xludf.DUMMYFUNCTION("""COMPUTED_VALUE"""),"La Longère")</f>
        <v/>
      </c>
    </row>
    <row r="84">
      <c r="A84" s="7">
        <f>IFERROR(__xludf.DUMMYFUNCTION("""COMPUTED_VALUE"""),"La Passerelle")</f>
        <v/>
      </c>
    </row>
    <row r="85">
      <c r="A85" s="7">
        <f>IFERROR(__xludf.DUMMYFUNCTION("""COMPUTED_VALUE"""),"La Péniche")</f>
        <v/>
      </c>
    </row>
    <row r="86">
      <c r="A86" s="7">
        <f>IFERROR(__xludf.DUMMYFUNCTION("""COMPUTED_VALUE"""),"La pince à vélo")</f>
        <v/>
      </c>
    </row>
    <row r="87">
      <c r="A87" s="7">
        <f>IFERROR(__xludf.DUMMYFUNCTION("""COMPUTED_VALUE"""),"La Piraterie")</f>
        <v/>
      </c>
    </row>
    <row r="88">
      <c r="A88" s="7">
        <f>IFERROR(__xludf.DUMMYFUNCTION("""COMPUTED_VALUE"""),"La Rotonde")</f>
        <v/>
      </c>
    </row>
    <row r="89">
      <c r="A89" s="7">
        <f>IFERROR(__xludf.DUMMYFUNCTION("""COMPUTED_VALUE"""),"La Ruche Centre Social")</f>
        <v/>
      </c>
    </row>
    <row r="90">
      <c r="A90" s="7">
        <f>IFERROR(__xludf.DUMMYFUNCTION("""COMPUTED_VALUE"""),"La Sandwicherie")</f>
        <v/>
      </c>
    </row>
    <row r="91">
      <c r="A91" s="7">
        <f>IFERROR(__xludf.DUMMYFUNCTION("""COMPUTED_VALUE"""),"Le 108")</f>
        <v/>
      </c>
    </row>
    <row r="92">
      <c r="A92" s="7">
        <f>IFERROR(__xludf.DUMMYFUNCTION("""COMPUTED_VALUE"""),"Le Barouf")</f>
        <v/>
      </c>
    </row>
    <row r="93">
      <c r="A93" s="7">
        <f>IFERROR(__xludf.DUMMYFUNCTION("""COMPUTED_VALUE"""),"le Café de la Gare")</f>
        <v/>
      </c>
    </row>
    <row r="94">
      <c r="A94" s="7">
        <f>IFERROR(__xludf.DUMMYFUNCTION("""COMPUTED_VALUE"""),"Le carré rouge - Quinconces")</f>
        <v/>
      </c>
    </row>
    <row r="95">
      <c r="A95" s="7">
        <f>IFERROR(__xludf.DUMMYFUNCTION("""COMPUTED_VALUE"""),"Le chapiteau du Plongeoir")</f>
        <v/>
      </c>
    </row>
    <row r="96">
      <c r="A96" s="7">
        <f>IFERROR(__xludf.DUMMYFUNCTION("""COMPUTED_VALUE"""),"Le Colibri")</f>
        <v/>
      </c>
    </row>
    <row r="97">
      <c r="A97" s="7">
        <f>IFERROR(__xludf.DUMMYFUNCTION("""COMPUTED_VALUE"""),"Le Forum")</f>
        <v/>
      </c>
    </row>
    <row r="98">
      <c r="A98" s="7">
        <f>IFERROR(__xludf.DUMMYFUNCTION("""COMPUTED_VALUE"""),"Le Français")</f>
        <v/>
      </c>
    </row>
    <row r="99">
      <c r="A99" s="7">
        <f>IFERROR(__xludf.DUMMYFUNCTION("""COMPUTED_VALUE"""),"Le Guet à Pintes")</f>
        <v/>
      </c>
    </row>
    <row r="100">
      <c r="A100" s="7">
        <f>IFERROR(__xludf.DUMMYFUNCTION("""COMPUTED_VALUE"""),"Le Lapin Blanc")</f>
        <v/>
      </c>
    </row>
    <row r="101">
      <c r="A101" s="7">
        <f>IFERROR(__xludf.DUMMYFUNCTION("""COMPUTED_VALUE"""),"Le Lézard")</f>
        <v/>
      </c>
    </row>
    <row r="102">
      <c r="A102" s="7">
        <f>IFERROR(__xludf.DUMMYFUNCTION("""COMPUTED_VALUE"""),"Le Libertà")</f>
        <v/>
      </c>
    </row>
    <row r="103">
      <c r="A103" s="7">
        <f>IFERROR(__xludf.DUMMYFUNCTION("""COMPUTED_VALUE"""),"Le Local à Bières")</f>
        <v/>
      </c>
    </row>
    <row r="104">
      <c r="A104" s="7">
        <f>IFERROR(__xludf.DUMMYFUNCTION("""COMPUTED_VALUE"""),"Le Palace")</f>
        <v/>
      </c>
    </row>
    <row r="105">
      <c r="A105" s="7">
        <f>IFERROR(__xludf.DUMMYFUNCTION("""COMPUTED_VALUE"""),"Le Pâtis")</f>
        <v/>
      </c>
    </row>
    <row r="106">
      <c r="A106" s="7">
        <f>IFERROR(__xludf.DUMMYFUNCTION("""COMPUTED_VALUE"""),"Le Pilier Rouge")</f>
        <v/>
      </c>
    </row>
    <row r="107">
      <c r="A107" s="7">
        <f>IFERROR(__xludf.DUMMYFUNCTION("""COMPUTED_VALUE"""),"Le Portland Pub")</f>
        <v/>
      </c>
    </row>
    <row r="108">
      <c r="A108" s="7">
        <f>IFERROR(__xludf.DUMMYFUNCTION("""COMPUTED_VALUE"""),"Le Rabelais")</f>
        <v/>
      </c>
    </row>
    <row r="109">
      <c r="A109" s="7">
        <f>IFERROR(__xludf.DUMMYFUNCTION("""COMPUTED_VALUE"""),"Le SIlo")</f>
        <v/>
      </c>
    </row>
    <row r="110">
      <c r="A110" s="7">
        <f>IFERROR(__xludf.DUMMYFUNCTION("""COMPUTED_VALUE"""),"Le Tamaris")</f>
        <v/>
      </c>
    </row>
    <row r="111">
      <c r="A111" s="7">
        <f>IFERROR(__xludf.DUMMYFUNCTION("""COMPUTED_VALUE"""),"Le Val de Vray")</f>
        <v/>
      </c>
    </row>
    <row r="112">
      <c r="A112" s="7">
        <f>IFERROR(__xludf.DUMMYFUNCTION("""COMPUTED_VALUE"""),"Le Val’Rhonne")</f>
        <v/>
      </c>
    </row>
    <row r="113">
      <c r="A113" s="7">
        <f>IFERROR(__xludf.DUMMYFUNCTION("""COMPUTED_VALUE"""),"Le Vaud’")</f>
        <v/>
      </c>
    </row>
    <row r="114">
      <c r="A114" s="7">
        <f>IFERROR(__xludf.DUMMYFUNCTION("""COMPUTED_VALUE"""),"Le Wiz")</f>
        <v/>
      </c>
    </row>
    <row r="115">
      <c r="A115" s="7">
        <f>IFERROR(__xludf.DUMMYFUNCTION("""COMPUTED_VALUE"""),"Le Zoo")</f>
        <v/>
      </c>
    </row>
    <row r="116">
      <c r="A116" s="7">
        <f>IFERROR(__xludf.DUMMYFUNCTION("""COMPUTED_VALUE"""),"Les 3 Brasseurs")</f>
        <v/>
      </c>
    </row>
    <row r="117">
      <c r="A117" s="7">
        <f>IFERROR(__xludf.DUMMYFUNCTION("""COMPUTED_VALUE"""),"Les 3 mousses")</f>
        <v/>
      </c>
    </row>
    <row r="118">
      <c r="A118" s="7">
        <f>IFERROR(__xludf.DUMMYFUNCTION("""COMPUTED_VALUE"""),"Les Cinéastes")</f>
        <v/>
      </c>
    </row>
    <row r="119">
      <c r="A119" s="7">
        <f>IFERROR(__xludf.DUMMYFUNCTION("""COMPUTED_VALUE"""),"Les moulins de Paillard")</f>
        <v/>
      </c>
    </row>
    <row r="120">
      <c r="A120" s="7">
        <f>IFERROR(__xludf.DUMMYFUNCTION("""COMPUTED_VALUE"""),"Les Quinconces")</f>
        <v/>
      </c>
    </row>
    <row r="121">
      <c r="A121" s="7">
        <f>IFERROR(__xludf.DUMMYFUNCTION("""COMPUTED_VALUE"""),"Les Quinconces - Petit Théâtre")</f>
        <v/>
      </c>
    </row>
    <row r="122">
      <c r="A122" s="7">
        <f>IFERROR(__xludf.DUMMYFUNCTION("""COMPUTED_VALUE"""),"Les Quinconces (Contre-allée)")</f>
        <v/>
      </c>
    </row>
    <row r="123">
      <c r="A123" s="7">
        <f>IFERROR(__xludf.DUMMYFUNCTION("""COMPUTED_VALUE"""),"Les Rêveries")</f>
        <v/>
      </c>
    </row>
    <row r="124">
      <c r="A124" s="7">
        <f>IFERROR(__xludf.DUMMYFUNCTION("""COMPUTED_VALUE"""),"Les Saulnières")</f>
        <v/>
      </c>
    </row>
    <row r="125">
      <c r="A125" s="7">
        <f>IFERROR(__xludf.DUMMYFUNCTION("""COMPUTED_VALUE"""),"Les Subsistances")</f>
        <v/>
      </c>
    </row>
    <row r="126">
      <c r="A126" s="7">
        <f>IFERROR(__xludf.DUMMYFUNCTION("""COMPUTED_VALUE"""),"Les Tourettes")</f>
        <v/>
      </c>
    </row>
    <row r="127">
      <c r="A127" s="7">
        <f>IFERROR(__xludf.DUMMYFUNCTION("""COMPUTED_VALUE"""),"Librairie Bulle")</f>
        <v/>
      </c>
    </row>
    <row r="128">
      <c r="A128" s="7">
        <f>IFERROR(__xludf.DUMMYFUNCTION("""COMPUTED_VALUE"""),"Maison de la Biennale (théâtre Paul Scarron)")</f>
        <v/>
      </c>
    </row>
    <row r="129">
      <c r="A129" s="7">
        <f>IFERROR(__xludf.DUMMYFUNCTION("""COMPUTED_VALUE"""),"Maison de quartier Pierre Guédou")</f>
        <v/>
      </c>
    </row>
    <row r="130">
      <c r="A130" s="7">
        <f>IFERROR(__xludf.DUMMYFUNCTION("""COMPUTED_VALUE"""),"Médiathèque")</f>
        <v/>
      </c>
    </row>
    <row r="131">
      <c r="A131" s="7">
        <f>IFERROR(__xludf.DUMMYFUNCTION("""COMPUTED_VALUE"""),"Médiathèque Louis Aragon")</f>
        <v/>
      </c>
    </row>
    <row r="132">
      <c r="A132" s="7">
        <f>IFERROR(__xludf.DUMMYFUNCTION("""COMPUTED_VALUE"""),"MJC Jacques Prévert")</f>
        <v/>
      </c>
    </row>
    <row r="133">
      <c r="A133" s="7">
        <f>IFERROR(__xludf.DUMMYFUNCTION("""COMPUTED_VALUE"""),"Moulin du Blaireau")</f>
        <v/>
      </c>
    </row>
    <row r="134">
      <c r="A134" s="7">
        <f>IFERROR(__xludf.DUMMYFUNCTION("""COMPUTED_VALUE"""),"MPT Jean Moulin")</f>
        <v/>
      </c>
    </row>
    <row r="135">
      <c r="A135" s="7">
        <f>IFERROR(__xludf.DUMMYFUNCTION("""COMPUTED_VALUE"""),"Mulligan’s")</f>
        <v/>
      </c>
    </row>
    <row r="136">
      <c r="A136" s="7">
        <f>IFERROR(__xludf.DUMMYFUNCTION("""COMPUTED_VALUE"""),"Musée de la Musique Mécanique")</f>
        <v/>
      </c>
    </row>
    <row r="137">
      <c r="A137" s="7">
        <f>IFERROR(__xludf.DUMMYFUNCTION("""COMPUTED_VALUE"""),"Musée de Tessé")</f>
        <v/>
      </c>
    </row>
    <row r="138">
      <c r="A138" s="7">
        <f>IFERROR(__xludf.DUMMYFUNCTION("""COMPUTED_VALUE"""),"Musée JC Boulard - Carré Plantagenêt")</f>
        <v/>
      </c>
    </row>
    <row r="139">
      <c r="A139" s="7">
        <f>IFERROR(__xludf.DUMMYFUNCTION("""COMPUTED_VALUE"""),"N’strict Pro")</f>
        <v/>
      </c>
    </row>
    <row r="140">
      <c r="A140" s="7">
        <f>IFERROR(__xludf.DUMMYFUNCTION("""COMPUTED_VALUE"""),"Palais des Congrès")</f>
        <v/>
      </c>
    </row>
    <row r="141">
      <c r="A141" s="7">
        <f>IFERROR(__xludf.DUMMYFUNCTION("""COMPUTED_VALUE"""),"Parc de Tessé")</f>
        <v/>
      </c>
    </row>
    <row r="142">
      <c r="A142" s="7">
        <f>IFERROR(__xludf.DUMMYFUNCTION("""COMPUTED_VALUE"""),"Parc Jean du Bellay")</f>
        <v/>
      </c>
    </row>
    <row r="143">
      <c r="A143" s="7">
        <f>IFERROR(__xludf.DUMMYFUNCTION("""COMPUTED_VALUE"""),"Parc Monod")</f>
        <v/>
      </c>
    </row>
    <row r="144">
      <c r="A144" s="7">
        <f>IFERROR(__xludf.DUMMYFUNCTION("""COMPUTED_VALUE"""),"Parvis de la cathédrale")</f>
        <v/>
      </c>
    </row>
    <row r="145">
      <c r="A145" s="7">
        <f>IFERROR(__xludf.DUMMYFUNCTION("""COMPUTED_VALUE"""),"Parvis du chapiteau")</f>
        <v/>
      </c>
    </row>
    <row r="146">
      <c r="A146" s="7">
        <f>IFERROR(__xludf.DUMMYFUNCTION("""COMPUTED_VALUE"""),"Place d'Alger")</f>
        <v/>
      </c>
    </row>
    <row r="147">
      <c r="A147" s="7">
        <f>IFERROR(__xludf.DUMMYFUNCTION("""COMPUTED_VALUE"""),"Place des Sablons")</f>
        <v/>
      </c>
    </row>
    <row r="148">
      <c r="A148" s="7">
        <f>IFERROR(__xludf.DUMMYFUNCTION("""COMPUTED_VALUE"""),"Place du Château")</f>
        <v/>
      </c>
    </row>
    <row r="149">
      <c r="A149" s="7">
        <f>IFERROR(__xludf.DUMMYFUNCTION("""COMPUTED_VALUE"""),"Place du Kiosque")</f>
        <v/>
      </c>
    </row>
    <row r="150">
      <c r="A150" s="7">
        <f>IFERROR(__xludf.DUMMYFUNCTION("""COMPUTED_VALUE"""),"Place du Jet d'eau")</f>
        <v/>
      </c>
    </row>
    <row r="151">
      <c r="A151" s="7">
        <f>IFERROR(__xludf.DUMMYFUNCTION("""COMPUTED_VALUE"""),"Plaine du Ronceray")</f>
        <v/>
      </c>
    </row>
    <row r="152">
      <c r="A152" s="7">
        <f>IFERROR(__xludf.DUMMYFUNCTION("""COMPUTED_VALUE"""),"Quai des Arts")</f>
        <v/>
      </c>
    </row>
    <row r="153">
      <c r="A153" s="7">
        <f>IFERROR(__xludf.DUMMYFUNCTION("""COMPUTED_VALUE"""),"Résidence les Vertolines")</f>
        <v/>
      </c>
    </row>
    <row r="154">
      <c r="A154" s="7">
        <f>IFERROR(__xludf.DUMMYFUNCTION("""COMPUTED_VALUE"""),"Salle Atlantis")</f>
        <v/>
      </c>
    </row>
    <row r="155">
      <c r="A155" s="7">
        <f>IFERROR(__xludf.DUMMYFUNCTION("""COMPUTED_VALUE"""),"Salle Claircigny")</f>
        <v/>
      </c>
    </row>
    <row r="156">
      <c r="A156" s="7">
        <f>IFERROR(__xludf.DUMMYFUNCTION("""COMPUTED_VALUE"""),"Salle Coppélia")</f>
        <v/>
      </c>
    </row>
    <row r="157">
      <c r="A157" s="7">
        <f>IFERROR(__xludf.DUMMYFUNCTION("""COMPUTED_VALUE"""),"Salle de l'Horloge")</f>
        <v/>
      </c>
    </row>
    <row r="158">
      <c r="A158" s="7">
        <f>IFERROR(__xludf.DUMMYFUNCTION("""COMPUTED_VALUE"""),"Salle des concerts")</f>
        <v/>
      </c>
    </row>
    <row r="159">
      <c r="A159" s="7">
        <f>IFERROR(__xludf.DUMMYFUNCTION("""COMPUTED_VALUE"""),"Salle des fêtes")</f>
        <v/>
      </c>
    </row>
    <row r="160">
      <c r="A160" s="7">
        <f>IFERROR(__xludf.DUMMYFUNCTION("""COMPUTED_VALUE"""),"Salle du Cloître")</f>
        <v/>
      </c>
    </row>
    <row r="161">
      <c r="A161" s="7">
        <f>IFERROR(__xludf.DUMMYFUNCTION("""COMPUTED_VALUE"""),"Salle G. Brassens")</f>
        <v/>
      </c>
    </row>
    <row r="162">
      <c r="A162" s="7">
        <f>IFERROR(__xludf.DUMMYFUNCTION("""COMPUTED_VALUE"""),"Salle Jean Carmet")</f>
        <v/>
      </c>
    </row>
    <row r="163">
      <c r="A163" s="7">
        <f>IFERROR(__xludf.DUMMYFUNCTION("""COMPUTED_VALUE"""),"Salle Léon Besnardeau")</f>
        <v/>
      </c>
    </row>
    <row r="164">
      <c r="A164" s="7">
        <f>IFERROR(__xludf.DUMMYFUNCTION("""COMPUTED_VALUE"""),"Salle Louise Labé")</f>
        <v/>
      </c>
    </row>
    <row r="165">
      <c r="A165" s="7">
        <f>IFERROR(__xludf.DUMMYFUNCTION("""COMPUTED_VALUE"""),"Salle Mélusine")</f>
        <v/>
      </c>
    </row>
    <row r="166">
      <c r="A166" s="7">
        <f>IFERROR(__xludf.DUMMYFUNCTION("""COMPUTED_VALUE"""),"Salle Michel Berger")</f>
        <v/>
      </c>
    </row>
    <row r="167">
      <c r="A167" s="7">
        <f>IFERROR(__xludf.DUMMYFUNCTION("""COMPUTED_VALUE"""),"Salle Polyvalente")</f>
        <v/>
      </c>
    </row>
    <row r="168">
      <c r="A168" s="7">
        <f>IFERROR(__xludf.DUMMYFUNCTION("""COMPUTED_VALUE"""),"Salle Polyvalente P.Richard")</f>
        <v/>
      </c>
    </row>
    <row r="169">
      <c r="A169" s="7">
        <f>IFERROR(__xludf.DUMMYFUNCTION("""COMPUTED_VALUE"""),"Salle Théophile Plé")</f>
        <v/>
      </c>
    </row>
    <row r="170">
      <c r="A170" s="7">
        <f>IFERROR(__xludf.DUMMYFUNCTION("""COMPUTED_VALUE"""),"Studio de la Cie Marie Lenfant")</f>
        <v/>
      </c>
    </row>
    <row r="171">
      <c r="A171" s="7">
        <f>IFERROR(__xludf.DUMMYFUNCTION("""COMPUTED_VALUE"""),"SunRock")</f>
        <v/>
      </c>
    </row>
    <row r="172">
      <c r="A172" s="7">
        <f>IFERROR(__xludf.DUMMYFUNCTION("""COMPUTED_VALUE"""),"Superforma")</f>
        <v/>
      </c>
    </row>
    <row r="173">
      <c r="A173" s="7">
        <f>IFERROR(__xludf.DUMMYFUNCTION("""COMPUTED_VALUE"""),"TALM-Le Mans")</f>
        <v/>
      </c>
    </row>
    <row r="174">
      <c r="A174" s="7">
        <f>IFERROR(__xludf.DUMMYFUNCTION("""COMPUTED_VALUE"""),"Temple Protestant")</f>
        <v/>
      </c>
    </row>
    <row r="175">
      <c r="A175" s="7">
        <f>IFERROR(__xludf.DUMMYFUNCTION("""COMPUTED_VALUE"""),"Terrain de jeu")</f>
        <v/>
      </c>
    </row>
    <row r="176">
      <c r="A176" s="7">
        <f>IFERROR(__xludf.DUMMYFUNCTION("""COMPUTED_VALUE"""),"The Lodge")</f>
        <v/>
      </c>
    </row>
    <row r="177">
      <c r="A177" s="7">
        <f>IFERROR(__xludf.DUMMYFUNCTION("""COMPUTED_VALUE"""),"Théâtre de Chaoué")</f>
        <v/>
      </c>
    </row>
    <row r="178">
      <c r="A178" s="7">
        <f>IFERROR(__xludf.DUMMYFUNCTION("""COMPUTED_VALUE"""),"Théâtre de l’Acthalia")</f>
        <v/>
      </c>
    </row>
    <row r="179">
      <c r="A179" s="7">
        <f>IFERROR(__xludf.DUMMYFUNCTION("""COMPUTED_VALUE"""),"Théâtre de l’Écluse")</f>
        <v/>
      </c>
    </row>
    <row r="180">
      <c r="A180" s="7">
        <f>IFERROR(__xludf.DUMMYFUNCTION("""COMPUTED_VALUE"""),"Théâtre de la Bertoche")</f>
        <v/>
      </c>
    </row>
    <row r="181">
      <c r="A181" s="7">
        <f>IFERROR(__xludf.DUMMYFUNCTION("""COMPUTED_VALUE"""),"Théâtre de la Halle-au-Blé")</f>
        <v/>
      </c>
    </row>
    <row r="182">
      <c r="A182" s="7">
        <f>IFERROR(__xludf.DUMMYFUNCTION("""COMPUTED_VALUE"""),"Théâtre du Passeur")</f>
        <v/>
      </c>
    </row>
    <row r="183">
      <c r="A183" s="7">
        <f>IFERROR(__xludf.DUMMYFUNCTION("""COMPUTED_VALUE"""),"Théâtre Épidaure")</f>
        <v/>
      </c>
    </row>
    <row r="184">
      <c r="A184" s="7">
        <f>IFERROR(__xludf.DUMMYFUNCTION("""COMPUTED_VALUE"""),"Théâtre Municipal")</f>
        <v/>
      </c>
    </row>
    <row r="185">
      <c r="A185" s="7">
        <f>IFERROR(__xludf.DUMMYFUNCTION("""COMPUTED_VALUE"""),"Théâtre Paul Scarron")</f>
        <v/>
      </c>
    </row>
    <row r="186">
      <c r="A186" s="7">
        <f>IFERROR(__xludf.DUMMYFUNCTION("""COMPUTED_VALUE"""),"Twin's Beer")</f>
        <v/>
      </c>
    </row>
    <row r="187">
      <c r="A187" s="7">
        <f>IFERROR(__xludf.DUMMYFUNCTION("""COMPUTED_VALUE"""),"Undertaker")</f>
        <v/>
      </c>
    </row>
    <row r="188">
      <c r="A188" s="7">
        <f>IFERROR(__xludf.DUMMYFUNCTION("""COMPUTED_VALUE"""),"V and B Allonnes")</f>
        <v/>
      </c>
    </row>
    <row r="189">
      <c r="A189" s="7">
        <f>IFERROR(__xludf.DUMMYFUNCTION("""COMPUTED_VALUE"""),"Unik Music")</f>
        <v/>
      </c>
    </row>
    <row r="190">
      <c r="A190" s="7">
        <f>IFERROR(__xludf.DUMMYFUNCTION("""COMPUTED_VALUE"""),"V and B Le Mans")</f>
        <v/>
      </c>
    </row>
    <row r="191">
      <c r="A191" s="7">
        <f>IFERROR(__xludf.DUMMYFUNCTION("""COMPUTED_VALUE"""),"Verre I Table")</f>
        <v/>
      </c>
    </row>
    <row r="192">
      <c r="A192" s="7">
        <f>IFERROR(__xludf.DUMMYFUNCTION("""COMPUTED_VALUE"""),"Vivement Hier")</f>
        <v/>
      </c>
    </row>
    <row r="193">
      <c r="A193" s="7">
        <f>IFERROR(__xludf.DUMMYFUNCTION("""COMPUTED_VALUE"""),"Wizard Asso")</f>
        <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32"/>
  <sheetViews>
    <sheetView workbookViewId="0">
      <selection activeCell="A1" sqref="A1"/>
    </sheetView>
  </sheetViews>
  <sheetFormatPr baseColWidth="8" defaultColWidth="12.63" defaultRowHeight="15.75" customHeight="1"/>
  <sheetData>
    <row r="1">
      <c r="A1" s="1" t="n"/>
      <c r="C1" s="7" t="inlineStr">
        <is>
          <t>Coups de coeur et en bref</t>
        </is>
      </c>
      <c r="E1" s="4" t="n"/>
      <c r="F1" s="4" t="n"/>
    </row>
    <row r="2">
      <c r="A2" s="1" t="n">
        <v>46296</v>
      </c>
      <c r="B2" s="7">
        <f>TEXT(A2, "dddd d")</f>
        <v/>
      </c>
      <c r="C2" s="7">
        <f>VLOOKUP(TEXT(A2, "dddd"), E:F, 2, FALSE) &amp; " " &amp; DAY(A2)</f>
        <v/>
      </c>
      <c r="E2" s="14" t="inlineStr">
        <is>
          <t>Sunday</t>
        </is>
      </c>
      <c r="F2" s="14" t="inlineStr">
        <is>
          <t>Dimanche</t>
        </is>
      </c>
    </row>
    <row r="3">
      <c r="A3" s="1" t="n">
        <v>46297</v>
      </c>
      <c r="B3" s="7">
        <f>TEXT(A3, "dddd d")</f>
        <v/>
      </c>
      <c r="C3" s="7">
        <f>VLOOKUP(TEXT(A3, "dddd"), E:F, 2, FALSE) &amp; " " &amp; DAY(A3)</f>
        <v/>
      </c>
      <c r="E3" s="14" t="inlineStr">
        <is>
          <t>Monday</t>
        </is>
      </c>
      <c r="F3" s="14" t="inlineStr">
        <is>
          <t>Lundi</t>
        </is>
      </c>
    </row>
    <row r="4">
      <c r="A4" s="1" t="n">
        <v>46298</v>
      </c>
      <c r="B4" s="7">
        <f>TEXT(A4, "dddd d")</f>
        <v/>
      </c>
      <c r="C4" s="7">
        <f>VLOOKUP(TEXT(A4, "dddd"), E:F, 2, FALSE) &amp; " " &amp; DAY(A4)</f>
        <v/>
      </c>
      <c r="E4" s="14" t="inlineStr">
        <is>
          <t>Tuesday</t>
        </is>
      </c>
      <c r="F4" s="14" t="inlineStr">
        <is>
          <t>Mardi</t>
        </is>
      </c>
    </row>
    <row r="5">
      <c r="A5" s="1" t="n">
        <v>46299</v>
      </c>
      <c r="B5" s="7">
        <f>TEXT(A5, "dddd d")</f>
        <v/>
      </c>
      <c r="C5" s="7">
        <f>VLOOKUP(TEXT(A5, "dddd"), E:F, 2, FALSE) &amp; " " &amp; DAY(A5)</f>
        <v/>
      </c>
      <c r="E5" s="14" t="inlineStr">
        <is>
          <t>Wednesday</t>
        </is>
      </c>
      <c r="F5" s="14" t="inlineStr">
        <is>
          <t>Mercredi</t>
        </is>
      </c>
    </row>
    <row r="6">
      <c r="A6" s="1" t="n">
        <v>46300</v>
      </c>
      <c r="B6" s="7">
        <f>TEXT(A6, "dddd d")</f>
        <v/>
      </c>
      <c r="C6" s="7">
        <f>VLOOKUP(TEXT(A6, "dddd"), E:F, 2, FALSE) &amp; " " &amp; DAY(A6)</f>
        <v/>
      </c>
      <c r="E6" s="14" t="inlineStr">
        <is>
          <t>Thursday</t>
        </is>
      </c>
      <c r="F6" s="14" t="inlineStr">
        <is>
          <t>Jeudi</t>
        </is>
      </c>
    </row>
    <row r="7">
      <c r="A7" s="1" t="n">
        <v>46301</v>
      </c>
      <c r="B7" s="7">
        <f>TEXT(A7, "dddd d")</f>
        <v/>
      </c>
      <c r="C7" s="7">
        <f>VLOOKUP(TEXT(A7, "dddd"), E:F, 2, FALSE) &amp; " " &amp; DAY(A7)</f>
        <v/>
      </c>
      <c r="E7" s="14" t="inlineStr">
        <is>
          <t>Friday</t>
        </is>
      </c>
      <c r="F7" s="14" t="inlineStr">
        <is>
          <t>Vendredi</t>
        </is>
      </c>
    </row>
    <row r="8">
      <c r="A8" s="1" t="n">
        <v>46302</v>
      </c>
      <c r="B8" s="7">
        <f>TEXT(A8, "dddd d")</f>
        <v/>
      </c>
      <c r="C8" s="7">
        <f>VLOOKUP(TEXT(A8, "dddd"), E:F, 2, FALSE) &amp; " " &amp; DAY(A8)</f>
        <v/>
      </c>
      <c r="E8" s="14" t="inlineStr">
        <is>
          <t>Saturday</t>
        </is>
      </c>
      <c r="F8" s="14" t="inlineStr">
        <is>
          <t>Samedi</t>
        </is>
      </c>
    </row>
    <row r="9">
      <c r="A9" s="1" t="n">
        <v>46303</v>
      </c>
      <c r="B9" s="7">
        <f>TEXT(A9, "dddd d")</f>
        <v/>
      </c>
      <c r="C9" s="7">
        <f>VLOOKUP(TEXT(A9, "dddd"), E:F, 2, FALSE) &amp; " " &amp; DAY(A9)</f>
        <v/>
      </c>
    </row>
    <row r="10">
      <c r="A10" s="1" t="n">
        <v>46304</v>
      </c>
      <c r="B10" s="7">
        <f>TEXT(A10, "dddd d")</f>
        <v/>
      </c>
      <c r="C10" s="7">
        <f>VLOOKUP(TEXT(A10, "dddd"), E:F, 2, FALSE) &amp; " " &amp; DAY(A10)</f>
        <v/>
      </c>
    </row>
    <row r="11">
      <c r="A11" s="1" t="n">
        <v>46305</v>
      </c>
      <c r="B11" s="7">
        <f>TEXT(A11, "dddd d")</f>
        <v/>
      </c>
      <c r="C11" s="7">
        <f>VLOOKUP(TEXT(A11, "dddd"), E:F, 2, FALSE) &amp; " " &amp; DAY(A11)</f>
        <v/>
      </c>
    </row>
    <row r="12">
      <c r="A12" s="1" t="n">
        <v>46306</v>
      </c>
      <c r="B12" s="7">
        <f>TEXT(A12, "dddd d")</f>
        <v/>
      </c>
      <c r="C12" s="7">
        <f>VLOOKUP(TEXT(A12, "dddd"), E:F, 2, FALSE) &amp; " " &amp; DAY(A12)</f>
        <v/>
      </c>
    </row>
    <row r="13">
      <c r="A13" s="1" t="n">
        <v>46307</v>
      </c>
      <c r="B13" s="7">
        <f>TEXT(A13, "dddd d")</f>
        <v/>
      </c>
      <c r="C13" s="7">
        <f>VLOOKUP(TEXT(A13, "dddd"), E:F, 2, FALSE) &amp; " " &amp; DAY(A13)</f>
        <v/>
      </c>
    </row>
    <row r="14">
      <c r="A14" s="1" t="n">
        <v>46308</v>
      </c>
      <c r="B14" s="7">
        <f>TEXT(A14, "dddd d")</f>
        <v/>
      </c>
      <c r="C14" s="7">
        <f>VLOOKUP(TEXT(A14, "dddd"), E:F, 2, FALSE) &amp; " " &amp; DAY(A14)</f>
        <v/>
      </c>
    </row>
    <row r="15">
      <c r="A15" s="1" t="n">
        <v>46309</v>
      </c>
      <c r="B15" s="7">
        <f>TEXT(A15, "dddd d")</f>
        <v/>
      </c>
      <c r="C15" s="7">
        <f>VLOOKUP(TEXT(A15, "dddd"), E:F, 2, FALSE) &amp; " " &amp; DAY(A15)</f>
        <v/>
      </c>
    </row>
    <row r="16">
      <c r="A16" s="1" t="n">
        <v>46310</v>
      </c>
      <c r="B16" s="7">
        <f>TEXT(A16, "dddd d")</f>
        <v/>
      </c>
      <c r="C16" s="7">
        <f>VLOOKUP(TEXT(A16, "dddd"), E:F, 2, FALSE) &amp; " " &amp; DAY(A16)</f>
        <v/>
      </c>
    </row>
    <row r="17">
      <c r="A17" s="1" t="n">
        <v>46311</v>
      </c>
      <c r="B17" s="7">
        <f>TEXT(A17, "dddd d")</f>
        <v/>
      </c>
      <c r="C17" s="7">
        <f>VLOOKUP(TEXT(A17, "dddd"), E:F, 2, FALSE) &amp; " " &amp; DAY(A17)</f>
        <v/>
      </c>
    </row>
    <row r="18">
      <c r="A18" s="1" t="n">
        <v>46312</v>
      </c>
      <c r="B18" s="7">
        <f>TEXT(A18, "dddd d")</f>
        <v/>
      </c>
      <c r="C18" s="7">
        <f>VLOOKUP(TEXT(A18, "dddd"), E:F, 2, FALSE) &amp; " " &amp; DAY(A18)</f>
        <v/>
      </c>
    </row>
    <row r="19">
      <c r="A19" s="1" t="n">
        <v>46313</v>
      </c>
      <c r="B19" s="7">
        <f>TEXT(A19, "dddd d")</f>
        <v/>
      </c>
      <c r="C19" s="7">
        <f>VLOOKUP(TEXT(A19, "dddd"), E:F, 2, FALSE) &amp; " " &amp; DAY(A19)</f>
        <v/>
      </c>
    </row>
    <row r="20">
      <c r="A20" s="1" t="n">
        <v>46314</v>
      </c>
      <c r="B20" s="7">
        <f>TEXT(A20, "dddd d")</f>
        <v/>
      </c>
      <c r="C20" s="7">
        <f>VLOOKUP(TEXT(A20, "dddd"), E:F, 2, FALSE) &amp; " " &amp; DAY(A20)</f>
        <v/>
      </c>
    </row>
    <row r="21">
      <c r="A21" s="1" t="n">
        <v>46315</v>
      </c>
      <c r="B21" s="7">
        <f>TEXT(A21, "dddd d")</f>
        <v/>
      </c>
      <c r="C21" s="7">
        <f>VLOOKUP(TEXT(A21, "dddd"), E:F, 2, FALSE) &amp; " " &amp; DAY(A21)</f>
        <v/>
      </c>
    </row>
    <row r="22">
      <c r="A22" s="1" t="n">
        <v>46316</v>
      </c>
      <c r="B22" s="7">
        <f>TEXT(A22, "dddd d")</f>
        <v/>
      </c>
      <c r="C22" s="7">
        <f>VLOOKUP(TEXT(A22, "dddd"), E:F, 2, FALSE) &amp; " " &amp; DAY(A22)</f>
        <v/>
      </c>
    </row>
    <row r="23">
      <c r="A23" s="1" t="n">
        <v>46317</v>
      </c>
      <c r="B23" s="7">
        <f>TEXT(A23, "dddd d")</f>
        <v/>
      </c>
      <c r="C23" s="7">
        <f>VLOOKUP(TEXT(A23, "dddd"), E:F, 2, FALSE) &amp; " " &amp; DAY(A23)</f>
        <v/>
      </c>
    </row>
    <row r="24">
      <c r="A24" s="1" t="n">
        <v>46318</v>
      </c>
      <c r="B24" s="7">
        <f>TEXT(A24, "dddd d")</f>
        <v/>
      </c>
      <c r="C24" s="7">
        <f>VLOOKUP(TEXT(A24, "dddd"), E:F, 2, FALSE) &amp; " " &amp; DAY(A24)</f>
        <v/>
      </c>
    </row>
    <row r="25">
      <c r="A25" s="1" t="n">
        <v>46319</v>
      </c>
      <c r="B25" s="7">
        <f>TEXT(A25, "dddd d")</f>
        <v/>
      </c>
      <c r="C25" s="7">
        <f>VLOOKUP(TEXT(A25, "dddd"), E:F, 2, FALSE) &amp; " " &amp; DAY(A25)</f>
        <v/>
      </c>
    </row>
    <row r="26">
      <c r="A26" s="1" t="n">
        <v>46320</v>
      </c>
      <c r="B26" s="7">
        <f>TEXT(A26, "dddd d")</f>
        <v/>
      </c>
      <c r="C26" s="7">
        <f>VLOOKUP(TEXT(A26, "dddd"), E:F, 2, FALSE) &amp; " " &amp; DAY(A26)</f>
        <v/>
      </c>
    </row>
    <row r="27">
      <c r="A27" s="1" t="n">
        <v>46321</v>
      </c>
      <c r="B27" s="7">
        <f>TEXT(A27, "dddd d")</f>
        <v/>
      </c>
      <c r="C27" s="7">
        <f>VLOOKUP(TEXT(A27, "dddd"), E:F, 2, FALSE) &amp; " " &amp; DAY(A27)</f>
        <v/>
      </c>
    </row>
    <row r="28">
      <c r="A28" s="1" t="n">
        <v>46322</v>
      </c>
      <c r="B28" s="7">
        <f>TEXT(A28, "dddd d")</f>
        <v/>
      </c>
      <c r="C28" s="7">
        <f>VLOOKUP(TEXT(A28, "dddd"), E:F, 2, FALSE) &amp; " " &amp; DAY(A28)</f>
        <v/>
      </c>
    </row>
    <row r="29">
      <c r="A29" s="1" t="n">
        <v>46323</v>
      </c>
      <c r="B29" s="7">
        <f>TEXT(A29, "dddd d")</f>
        <v/>
      </c>
      <c r="C29" s="7">
        <f>VLOOKUP(TEXT(A29, "dddd"), E:F, 2, FALSE) &amp; " " &amp; DAY(A29)</f>
        <v/>
      </c>
    </row>
    <row r="30">
      <c r="A30" s="1" t="n">
        <v>46324</v>
      </c>
      <c r="B30" s="7">
        <f>TEXT(A30, "dddd d")</f>
        <v/>
      </c>
      <c r="C30" s="7">
        <f>VLOOKUP(TEXT(A30, "dddd"), E:F, 2, FALSE) &amp; " " &amp; DAY(A30)</f>
        <v/>
      </c>
    </row>
    <row r="31">
      <c r="A31" s="1" t="n">
        <v>46325</v>
      </c>
      <c r="B31" s="7">
        <f>TEXT(A31, "dddd d")</f>
        <v/>
      </c>
      <c r="C31" s="7">
        <f>VLOOKUP(TEXT(A31, "dddd"), E:F, 2, FALSE) &amp; " " &amp; DAY(A31)</f>
        <v/>
      </c>
    </row>
    <row r="32">
      <c r="A32" s="1" t="n">
        <v>46326</v>
      </c>
      <c r="B32" s="7">
        <f>TEXT(A32, "dddd d")</f>
        <v/>
      </c>
      <c r="C32" s="7">
        <f>VLOOKUP(TEXT(A32, "dddd"), E:F, 2, FALSE) &amp; " " &amp; DAY(A32)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2026-10-23T23:44:26Z</dcterms:created>
  <dcterms:modified xmlns:dcterms="http://purl.org/dc/terms/" xmlns:xsi="http://www.w3.org/2001/XMLSchema-instance" xsi:type="dcterms:W3CDTF">2026-10-23T23:44:26Z</dcterms:modified>
</cp:coreProperties>
</file>